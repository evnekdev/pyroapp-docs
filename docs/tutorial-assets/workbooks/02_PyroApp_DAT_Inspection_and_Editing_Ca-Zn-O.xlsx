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_WORK\Code\Rust\pyroapp-docs\docs\tutorial-assets\workbooks\"/>
    </mc:Choice>
  </mc:AlternateContent>
  <xr:revisionPtr revIDLastSave="0" documentId="13_ncr:1_{55FCDBED-7C95-4CF9-ADEA-07D2880C9D60}" xr6:coauthVersionLast="47" xr6:coauthVersionMax="47" xr10:uidLastSave="{00000000-0000-0000-0000-000000000000}"/>
  <bookViews>
    <workbookView xWindow="-51720" yWindow="-120" windowWidth="51840" windowHeight="21120" xr2:uid="{00000000-000D-0000-FFFF-FFFF00000000}"/>
  </bookViews>
  <sheets>
    <sheet name="Start" sheetId="1" r:id="rId1"/>
    <sheet name="Browse" sheetId="2" r:id="rId2"/>
    <sheet name="Compound data" sheetId="3" r:id="rId3"/>
    <sheet name="Constituent data" sheetId="4" r:id="rId4"/>
    <sheet name="Interactions" sheetId="5" r:id="rId5"/>
    <sheet name="Safe edit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6" l="1"/>
  <c r="B6" i="5" a="1"/>
  <c r="H32" i="2" a="1"/>
  <c r="E32" i="2" a="1"/>
  <c r="B32" i="2" a="1"/>
  <c r="G5" i="2" a="1"/>
  <c r="E5" i="2" a="1"/>
  <c r="C5" i="2" a="1"/>
  <c r="A5" i="2" a="1"/>
  <c r="B11" i="3"/>
  <c r="B13" i="4"/>
  <c r="B12" i="4"/>
  <c r="B11" i="4"/>
  <c r="B10" i="4"/>
  <c r="B9" i="4"/>
  <c r="B8" i="4"/>
  <c r="B7" i="4"/>
  <c r="B12" i="3"/>
  <c r="B10" i="3"/>
  <c r="B9" i="3"/>
  <c r="B8" i="3"/>
  <c r="B7" i="3"/>
  <c r="B6" i="3"/>
  <c r="B14" i="1"/>
  <c r="A5" i="2" l="1"/>
  <c r="C5" i="2"/>
  <c r="E5" i="2"/>
  <c r="G5" i="2"/>
  <c r="B32" i="2"/>
  <c r="E32" i="2"/>
  <c r="H32" i="2"/>
  <c r="B6" i="5"/>
  <c r="B24" i="5"/>
  <c r="B29" i="5" a="1"/>
  <c r="B25" i="5"/>
  <c r="B29" i="5" l="1"/>
  <c r="B9" i="6"/>
  <c r="B11" i="6"/>
  <c r="B12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<sst xmlns="http://schemas.openxmlformats.org/spreadsheetml/2006/main" count="70" uniqueCount="56">
  <si>
    <t>PyroApp Example 02 — DAT Inspection and Editing (Ca-Zn-O)</t>
  </si>
  <si>
    <t>Browse an open DAT, read compound/constituent parameters, inspect interactions and use a gated SET operation.</t>
  </si>
  <si>
    <t>Before you calculate</t>
  </si>
  <si>
    <t>1. Install/load PyroApp in desktop Excel.</t>
  </si>
  <si>
    <t>2. Download Ca-Zn-O.dat and place it beside this workbook.</t>
  </si>
  <si>
    <t>3. Blue cells are inputs; black cells are formulas; purple cells are controls.</t>
  </si>
  <si>
    <t>4. The workbooks use literal text "" in unused CA_CALCULATE header cells (no leading equals sign).</t>
  </si>
  <si>
    <t>Datafile</t>
  </si>
  <si>
    <t>Ca-Zn-O.dat</t>
  </si>
  <si>
    <t>Download DAT</t>
  </si>
  <si>
    <t>Docs</t>
  </si>
  <si>
    <t>PyroApp documentation</t>
  </si>
  <si>
    <t>PyroApp status</t>
  </si>
  <si>
    <t>Browse an open DAT</t>
  </si>
  <si>
    <t>Components</t>
  </si>
  <si>
    <t>Solutions</t>
  </si>
  <si>
    <t>Compounds</t>
  </si>
  <si>
    <t>Phases</t>
  </si>
  <si>
    <t>Inspect Slag-liq</t>
  </si>
  <si>
    <t>Constituents</t>
  </si>
  <si>
    <t>Species</t>
  </si>
  <si>
    <t>G interactions</t>
  </si>
  <si>
    <t>Compound parameter lookups</t>
  </si>
  <si>
    <t>Phase</t>
  </si>
  <si>
    <t>CaO(s)</t>
  </si>
  <si>
    <t>H298</t>
  </si>
  <si>
    <t>S298</t>
  </si>
  <si>
    <t>Molar mass</t>
  </si>
  <si>
    <t>Stoichiometry</t>
  </si>
  <si>
    <t>Range count</t>
  </si>
  <si>
    <t>Range 1 Tupper</t>
  </si>
  <si>
    <t>Range 1 coefficient 1</t>
  </si>
  <si>
    <t>Solution-constituent parameter lookups</t>
  </si>
  <si>
    <t>Slag-liq</t>
  </si>
  <si>
    <t>Constituent</t>
  </si>
  <si>
    <t>CaO</t>
  </si>
  <si>
    <t>Excess Gibbs-energy interactions</t>
  </si>
  <si>
    <t>Interaction list</t>
  </si>
  <si>
    <t>Read the first interaction</t>
  </si>
  <si>
    <t>Interaction</t>
  </si>
  <si>
    <t>Index</t>
  </si>
  <si>
    <t>constant</t>
  </si>
  <si>
    <t>T</t>
  </si>
  <si>
    <t>T ln(T)</t>
  </si>
  <si>
    <t>T^2</t>
  </si>
  <si>
    <t>T^3</t>
  </si>
  <si>
    <t>1/T</t>
  </si>
  <si>
    <t>Gated SET example</t>
  </si>
  <si>
    <t>SET modifies the DAT file. Leave Enable SET = FALSE until you intentionally want to write the Proposed value. Keep an untouched reference DAT.</t>
  </si>
  <si>
    <t>Value index</t>
  </si>
  <si>
    <t>Current value</t>
  </si>
  <si>
    <t>Proposed value</t>
  </si>
  <si>
    <t>Update token</t>
  </si>
  <si>
    <t>Enable SET</t>
  </si>
  <si>
    <t>SET result</t>
  </si>
  <si>
    <t>Typical use: read Current value, replace Proposed value with a number, enable SET, increment Update token, then disable SET and recalculate dependent calculations.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</si>
</sst>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sz val="11"/>
      <color rgb="FF0000FF"/>
      <name val="Calibri"/>
    </font>
    <font>
      <u/>
      <sz val="11"/>
      <color rgb="FF008000"/>
      <name val="Calibri"/>
    </font>
    <font>
      <sz val="11"/>
      <color rgb="FF7030A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E4DFE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3" fillId="3" borderId="1" xfId="0" applyFont="1" applyFill="1" applyBorder="1"/>
    <xf numFmtId="0" fontId="4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5" fillId="5" borderId="1" xfId="0" applyFont="1" applyFill="1" applyBorder="1"/>
    <xf numFmtId="0" fontId="2" fillId="2" borderId="1" xfId="0" applyFont="1" applyFill="1" applyBorder="1"/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vnekdev.github.io/pyroapp-docs/" TargetMode="External"/><Relationship Id="rId1" Type="http://schemas.openxmlformats.org/officeDocument/2006/relationships/hyperlink" Target="https://evnekdev.github.io/pyroapp-docs/tutorial-assets/datafiles/examples/Ca-Zn-O.d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sqref="A1:J1"/>
    </sheetView>
  </sheetViews>
  <sheetFormatPr defaultRowHeight="14.5" x14ac:dyDescent="0.35"/>
  <cols>
    <col min="1" max="1" width="13.7265625" bestFit="1" customWidth="1"/>
    <col min="2" max="2" width="21.90625" bestFit="1" customWidth="1"/>
    <col min="3" max="10" width="18" customWidth="1"/>
  </cols>
  <sheetData>
    <row r="1" spans="1:10" ht="23.5" customHeight="1" x14ac:dyDescent="0.55000000000000004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42" customHeight="1" x14ac:dyDescent="0.35">
      <c r="A2" s="10" t="s">
        <v>1</v>
      </c>
      <c r="B2" s="7"/>
      <c r="C2" s="7"/>
      <c r="D2" s="7"/>
      <c r="E2" s="7"/>
      <c r="F2" s="7"/>
      <c r="G2" s="7"/>
      <c r="H2" s="7"/>
      <c r="I2" s="7"/>
      <c r="J2" s="7"/>
    </row>
    <row r="4" spans="1:10" x14ac:dyDescent="0.35">
      <c r="A4" s="6" t="s">
        <v>2</v>
      </c>
      <c r="B4" s="7"/>
      <c r="C4" s="7"/>
      <c r="D4" s="7"/>
      <c r="E4" s="7"/>
      <c r="F4" s="7"/>
      <c r="G4" s="7"/>
      <c r="H4" s="7"/>
    </row>
    <row r="5" spans="1:10" x14ac:dyDescent="0.35">
      <c r="A5" s="9" t="s">
        <v>3</v>
      </c>
      <c r="B5" s="7"/>
      <c r="C5" s="7"/>
      <c r="D5" s="7"/>
      <c r="E5" s="7"/>
      <c r="F5" s="7"/>
      <c r="G5" s="7"/>
      <c r="H5" s="7"/>
    </row>
    <row r="6" spans="1:10" x14ac:dyDescent="0.35">
      <c r="A6" s="9" t="s">
        <v>4</v>
      </c>
      <c r="B6" s="7"/>
      <c r="C6" s="7"/>
      <c r="D6" s="7"/>
      <c r="E6" s="7"/>
      <c r="F6" s="7"/>
      <c r="G6" s="7"/>
      <c r="H6" s="7"/>
    </row>
    <row r="7" spans="1:10" x14ac:dyDescent="0.35">
      <c r="A7" s="9" t="s">
        <v>5</v>
      </c>
      <c r="B7" s="7"/>
      <c r="C7" s="7"/>
      <c r="D7" s="7"/>
      <c r="E7" s="7"/>
      <c r="F7" s="7"/>
      <c r="G7" s="7"/>
      <c r="H7" s="7"/>
    </row>
    <row r="8" spans="1:10" x14ac:dyDescent="0.35">
      <c r="A8" s="9" t="s">
        <v>6</v>
      </c>
      <c r="B8" s="7"/>
      <c r="C8" s="7"/>
      <c r="D8" s="7"/>
      <c r="E8" s="7"/>
      <c r="F8" s="7"/>
      <c r="G8" s="7"/>
      <c r="H8" s="7"/>
    </row>
    <row r="10" spans="1:10" x14ac:dyDescent="0.35">
      <c r="A10" s="1" t="s">
        <v>7</v>
      </c>
      <c r="B10" s="2" t="s">
        <v>8</v>
      </c>
    </row>
    <row r="11" spans="1:10" x14ac:dyDescent="0.35">
      <c r="A11" s="1" t="s">
        <v>9</v>
      </c>
      <c r="B11" s="3" t="s">
        <v>8</v>
      </c>
    </row>
    <row r="12" spans="1:10" x14ac:dyDescent="0.35">
      <c r="A12" s="1" t="s">
        <v>10</v>
      </c>
      <c r="B12" s="3" t="s">
        <v>11</v>
      </c>
    </row>
    <row r="14" spans="1:10" x14ac:dyDescent="0.35">
      <c r="A14" s="1" t="s">
        <v>12</v>
      </c>
      <c r="B14" s="1">
        <f>IFERROR(_xll.XLL_CA_VERSION(),"PyroApp not loaded")</f>
        <v>714</v>
      </c>
    </row>
  </sheetData>
  <mergeCells count="7">
    <mergeCell ref="A8:H8"/>
    <mergeCell ref="A6:H6"/>
    <mergeCell ref="A4:H4"/>
    <mergeCell ref="A1:J1"/>
    <mergeCell ref="A7:H7"/>
    <mergeCell ref="A2:J2"/>
    <mergeCell ref="A5:H5"/>
  </mergeCells>
  <hyperlinks>
    <hyperlink ref="B11" r:id="rId1" xr:uid="{00000000-0004-0000-0000-000000000000}"/>
    <hyperlink ref="B12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workbookViewId="0"/>
  </sheetViews>
  <sheetFormatPr defaultRowHeight="14.5" x14ac:dyDescent="0.35"/>
  <cols>
    <col min="1" max="1" width="11.7265625" bestFit="1" customWidth="1"/>
    <col min="2" max="2" width="4.36328125" bestFit="1" customWidth="1"/>
    <col min="3" max="3" width="9.54296875" bestFit="1" customWidth="1"/>
    <col min="4" max="4" width="7.36328125" bestFit="1" customWidth="1"/>
    <col min="5" max="5" width="16.453125" bestFit="1" customWidth="1"/>
    <col min="6" max="6" width="1.90625" bestFit="1" customWidth="1"/>
    <col min="7" max="7" width="16.453125" bestFit="1" customWidth="1"/>
    <col min="8" max="8" width="33.54296875" bestFit="1" customWidth="1"/>
    <col min="9" max="16" width="18" customWidth="1"/>
  </cols>
  <sheetData>
    <row r="1" spans="1:10" ht="23.5" customHeight="1" x14ac:dyDescent="0.55000000000000004">
      <c r="A1" s="8" t="s">
        <v>13</v>
      </c>
      <c r="B1" s="7"/>
      <c r="C1" s="7"/>
      <c r="D1" s="7"/>
      <c r="E1" s="7"/>
      <c r="F1" s="7"/>
      <c r="G1" s="7"/>
      <c r="H1" s="7"/>
      <c r="I1" s="7"/>
      <c r="J1" s="7"/>
    </row>
    <row r="4" spans="1:10" x14ac:dyDescent="0.35">
      <c r="A4" s="4" t="s">
        <v>14</v>
      </c>
      <c r="C4" s="4" t="s">
        <v>15</v>
      </c>
      <c r="E4" s="4" t="s">
        <v>16</v>
      </c>
      <c r="G4" s="4" t="s">
        <v>17</v>
      </c>
    </row>
    <row r="5" spans="1:10" x14ac:dyDescent="0.35">
      <c r="A5" s="1" t="str" cm="1">
        <f t="array" ref="A5:A7">_xll.XLL_CA_LIST_COMPONENTS(Start!$B$10)</f>
        <v>Zn</v>
      </c>
      <c r="C5" s="1" t="str" cm="1">
        <f t="array" ref="C5:C7">_xll.XLL_CA_LIST_SOLUTIONS(Start!$B$10)</f>
        <v>Slag-liq</v>
      </c>
      <c r="E5" s="1" t="str" cm="1">
        <f t="array" ref="E5:E11">_xll.XLL_CA_LIST_COMPOUNDS(Start!$B$10)</f>
        <v>CaO_Lime(s)</v>
      </c>
      <c r="G5" s="1" t="str" cm="1">
        <f t="array" ref="G5:G14">_xll.XLL_CA_LIST_PHASES(Start!$B$10)</f>
        <v>Slag-liq</v>
      </c>
    </row>
    <row r="6" spans="1:10" x14ac:dyDescent="0.35">
      <c r="A6" t="str">
        <v>Ca</v>
      </c>
      <c r="C6" t="str">
        <v>Monoxide</v>
      </c>
      <c r="E6" t="str">
        <v>ZnO_Zincite(s)</v>
      </c>
      <c r="G6" t="str">
        <v>Monoxide</v>
      </c>
    </row>
    <row r="7" spans="1:10" x14ac:dyDescent="0.35">
      <c r="A7" t="str">
        <v>O</v>
      </c>
      <c r="C7" t="str">
        <v>Zincite</v>
      </c>
      <c r="E7" t="str">
        <v>O2(g)</v>
      </c>
      <c r="G7" t="str">
        <v>Zincite</v>
      </c>
    </row>
    <row r="8" spans="1:10" x14ac:dyDescent="0.35">
      <c r="E8" t="str">
        <v>Ca_Solid_Alpha(s)</v>
      </c>
      <c r="G8" t="str">
        <v>CaO_Lime(s)</v>
      </c>
    </row>
    <row r="9" spans="1:10" x14ac:dyDescent="0.35">
      <c r="E9" t="str">
        <v>Zn_solid(s)</v>
      </c>
      <c r="G9" t="str">
        <v>ZnO_Zincite(s)</v>
      </c>
    </row>
    <row r="10" spans="1:10" x14ac:dyDescent="0.35">
      <c r="E10" t="str">
        <v>CaO(s)</v>
      </c>
      <c r="G10" t="str">
        <v>O2(g)</v>
      </c>
    </row>
    <row r="11" spans="1:10" x14ac:dyDescent="0.35">
      <c r="E11" t="str">
        <v>ZnO(s)</v>
      </c>
      <c r="G11" t="str">
        <v>Ca_Solid_Alpha(s)</v>
      </c>
    </row>
    <row r="12" spans="1:10" x14ac:dyDescent="0.35">
      <c r="G12" t="str">
        <v>Zn_solid(s)</v>
      </c>
    </row>
    <row r="13" spans="1:10" x14ac:dyDescent="0.35">
      <c r="G13" t="str">
        <v>CaO(s)</v>
      </c>
    </row>
    <row r="14" spans="1:10" x14ac:dyDescent="0.35">
      <c r="G14" t="str">
        <v>ZnO(s)</v>
      </c>
    </row>
    <row r="30" spans="1:8" x14ac:dyDescent="0.35">
      <c r="A30" s="6" t="s">
        <v>18</v>
      </c>
      <c r="B30" s="7"/>
      <c r="C30" s="7"/>
      <c r="D30" s="7"/>
      <c r="E30" s="7"/>
      <c r="F30" s="7"/>
      <c r="G30" s="7"/>
      <c r="H30" s="7"/>
    </row>
    <row r="32" spans="1:8" x14ac:dyDescent="0.35">
      <c r="A32" s="4" t="s">
        <v>19</v>
      </c>
      <c r="B32" s="1" t="str" cm="1">
        <f t="array" ref="B32:B33">_xll.XLL_CA_LIST_CONSTITUENTS(Start!$B$10,"Slag-liq")</f>
        <v>CaO</v>
      </c>
      <c r="D32" s="4" t="s">
        <v>20</v>
      </c>
      <c r="E32" s="1" t="str" cm="1">
        <f t="array" ref="E32:F34">_xll.XLL_CA_LIST_SPECIES(Start!$B$10,"Slag-liq")</f>
        <v xml:space="preserve"> Ca</v>
      </c>
      <c r="F32">
        <v>1</v>
      </c>
      <c r="G32" s="4" t="s">
        <v>21</v>
      </c>
      <c r="H32" s="1" t="str" cm="1">
        <f t="array" ref="H32:H33">_xll.XLL_CA_LIST_INTERACTIONS_G(Start!$B$10,"Slag-liq")</f>
        <v>(Ca)^[0]-(Zn)^[0]: (O) (Quasichemical)</v>
      </c>
    </row>
    <row r="33" spans="2:8" x14ac:dyDescent="0.35">
      <c r="B33" t="str">
        <v>ZnO</v>
      </c>
      <c r="E33" t="str">
        <v>Zn</v>
      </c>
      <c r="F33">
        <v>1</v>
      </c>
      <c r="H33" t="str">
        <v>(Ca)^[0]-(Zn)^[1]: (O) (Quasichemical)</v>
      </c>
    </row>
    <row r="34" spans="2:8" x14ac:dyDescent="0.35">
      <c r="E34" t="str">
        <v>O</v>
      </c>
      <c r="F34">
        <v>2</v>
      </c>
    </row>
  </sheetData>
  <mergeCells count="2">
    <mergeCell ref="A1:J1"/>
    <mergeCell ref="A30:H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/>
  </sheetViews>
  <sheetFormatPr defaultRowHeight="14.5" x14ac:dyDescent="0.35"/>
  <cols>
    <col min="1" max="1" width="18.6328125" bestFit="1" customWidth="1"/>
    <col min="2" max="2" width="7.81640625" bestFit="1" customWidth="1"/>
    <col min="3" max="16" width="18" customWidth="1"/>
  </cols>
  <sheetData>
    <row r="1" spans="1:10" ht="23.5" customHeight="1" x14ac:dyDescent="0.55000000000000004">
      <c r="A1" s="8" t="s">
        <v>22</v>
      </c>
      <c r="B1" s="7"/>
      <c r="C1" s="7"/>
      <c r="D1" s="7"/>
      <c r="E1" s="7"/>
      <c r="F1" s="7"/>
      <c r="G1" s="7"/>
      <c r="H1" s="7"/>
      <c r="I1" s="7"/>
      <c r="J1" s="7"/>
    </row>
    <row r="4" spans="1:10" x14ac:dyDescent="0.35">
      <c r="A4" s="1" t="s">
        <v>23</v>
      </c>
      <c r="B4" s="2" t="s">
        <v>24</v>
      </c>
    </row>
    <row r="6" spans="1:10" x14ac:dyDescent="0.35">
      <c r="A6" s="1" t="s">
        <v>25</v>
      </c>
      <c r="B6" s="1">
        <f>_xll.XLL_CA_GET_COMPOUND_H298(Start!$B$10,$B$4)</f>
        <v>0</v>
      </c>
    </row>
    <row r="7" spans="1:10" x14ac:dyDescent="0.35">
      <c r="A7" s="1" t="s">
        <v>26</v>
      </c>
      <c r="B7" s="1">
        <f>_xll.XLL_CA_GET_COMPOUND_S298(Start!$B$10,$B$4)</f>
        <v>0</v>
      </c>
    </row>
    <row r="8" spans="1:10" x14ac:dyDescent="0.35">
      <c r="A8" s="1" t="s">
        <v>27</v>
      </c>
      <c r="B8" s="1">
        <f>_xll.XLL_CA_GET_COMPOUND_WEIGHTS(Start!$B$10,$B$4)</f>
        <v>56.077400000000004</v>
      </c>
    </row>
    <row r="9" spans="1:10" x14ac:dyDescent="0.35">
      <c r="A9" s="1" t="s">
        <v>28</v>
      </c>
      <c r="B9" s="1">
        <f>_xll.XLL_CA_GET_COMPOUND_STOICHIOMETRY(Start!$B$10,$B$4)</f>
        <v>0</v>
      </c>
    </row>
    <row r="10" spans="1:10" x14ac:dyDescent="0.35">
      <c r="A10" s="1" t="s">
        <v>29</v>
      </c>
      <c r="B10" s="1">
        <f>_xll.XLL_CA_GET_COMPOUND_RANGE_COUNT(Start!$B$10,$B$4)</f>
        <v>1</v>
      </c>
    </row>
    <row r="11" spans="1:10" x14ac:dyDescent="0.35">
      <c r="A11" s="1" t="s">
        <v>30</v>
      </c>
      <c r="B11" s="1">
        <f>_xll.XLL_CA_GET_COMPOUND_TUPPER(Start!$B$10,$B$4,1)</f>
        <v>6001</v>
      </c>
    </row>
    <row r="12" spans="1:10" x14ac:dyDescent="0.35">
      <c r="A12" s="1" t="s">
        <v>31</v>
      </c>
      <c r="B12" s="1">
        <f>_xll.XLL_CA_GET_COMPOUND_CP(Start!$B$10,$B$4,1,1)</f>
        <v>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/>
  </sheetViews>
  <sheetFormatPr defaultRowHeight="14.5" x14ac:dyDescent="0.35"/>
  <cols>
    <col min="1" max="1" width="18.6328125" bestFit="1" customWidth="1"/>
    <col min="2" max="2" width="10.453125" bestFit="1" customWidth="1"/>
    <col min="3" max="16" width="18" customWidth="1"/>
  </cols>
  <sheetData>
    <row r="1" spans="1:10" ht="23.5" customHeight="1" x14ac:dyDescent="0.55000000000000004">
      <c r="A1" s="8" t="s">
        <v>32</v>
      </c>
      <c r="B1" s="7"/>
      <c r="C1" s="7"/>
      <c r="D1" s="7"/>
      <c r="E1" s="7"/>
      <c r="F1" s="7"/>
      <c r="G1" s="7"/>
      <c r="H1" s="7"/>
      <c r="I1" s="7"/>
      <c r="J1" s="7"/>
    </row>
    <row r="4" spans="1:10" x14ac:dyDescent="0.35">
      <c r="A4" s="1" t="s">
        <v>23</v>
      </c>
      <c r="B4" s="2" t="s">
        <v>33</v>
      </c>
    </row>
    <row r="5" spans="1:10" x14ac:dyDescent="0.35">
      <c r="A5" s="1" t="s">
        <v>34</v>
      </c>
      <c r="B5" s="2" t="s">
        <v>35</v>
      </c>
    </row>
    <row r="7" spans="1:10" x14ac:dyDescent="0.35">
      <c r="A7" s="1" t="s">
        <v>25</v>
      </c>
      <c r="B7" s="1">
        <f>_xll.XLL_CA_GET_CONSTITUENT_H298(Start!$B$10,$B$4,$B$5)</f>
        <v>0</v>
      </c>
    </row>
    <row r="8" spans="1:10" x14ac:dyDescent="0.35">
      <c r="A8" s="1" t="s">
        <v>26</v>
      </c>
      <c r="B8" s="1">
        <f>_xll.XLL_CA_GET_CONSTITUENT_S298(Start!$B$10,$B$4,$B$5)</f>
        <v>0</v>
      </c>
    </row>
    <row r="9" spans="1:10" x14ac:dyDescent="0.35">
      <c r="A9" s="1" t="s">
        <v>27</v>
      </c>
      <c r="B9" s="1">
        <f>_xll.XLL_CA_GET_CONSTITUENT_WEIGHTS(Start!$B$10,$B$4,$B$5)</f>
        <v>56.077400000000004</v>
      </c>
    </row>
    <row r="10" spans="1:10" x14ac:dyDescent="0.35">
      <c r="A10" s="1" t="s">
        <v>28</v>
      </c>
      <c r="B10" s="1">
        <f>_xll.XLL_CA_GET_CONSTITUENT_STOICHIOMETRY(Start!$B$10,$B$4,$B$5)</f>
        <v>0</v>
      </c>
    </row>
    <row r="11" spans="1:10" x14ac:dyDescent="0.35">
      <c r="A11" s="1" t="s">
        <v>29</v>
      </c>
      <c r="B11" s="1">
        <f>_xll.XLL_CA_GET_CONSTITUENT_RANGE_COUNT(Start!$B$10,$B$4,$B$5)</f>
        <v>2</v>
      </c>
    </row>
    <row r="12" spans="1:10" x14ac:dyDescent="0.35">
      <c r="A12" s="1" t="s">
        <v>30</v>
      </c>
      <c r="B12" s="1">
        <f>_xll.XLL_CA_GET_CONSTITUENT_TUPPER(Start!$B$10,$B$4,$B$5,1)</f>
        <v>2845.1599000000001</v>
      </c>
    </row>
    <row r="13" spans="1:10" x14ac:dyDescent="0.35">
      <c r="A13" s="1" t="s">
        <v>31</v>
      </c>
      <c r="B13" s="1">
        <f>_xll.XLL_CA_GET_CONSTITUENT_CP(Start!$B$10,$B$4,$B$5,1,1)</f>
        <v>-571766.66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workbookViewId="0"/>
  </sheetViews>
  <sheetFormatPr defaultRowHeight="14.5" x14ac:dyDescent="0.35"/>
  <cols>
    <col min="1" max="1" width="13.36328125" bestFit="1" customWidth="1"/>
    <col min="2" max="2" width="33.54296875" bestFit="1" customWidth="1"/>
    <col min="3" max="3" width="1.90625" bestFit="1" customWidth="1"/>
    <col min="4" max="4" width="6.26953125" bestFit="1" customWidth="1"/>
    <col min="5" max="6" width="3.81640625" bestFit="1" customWidth="1"/>
    <col min="7" max="7" width="3.6328125" bestFit="1" customWidth="1"/>
  </cols>
  <sheetData>
    <row r="1" spans="1:10" ht="23.5" customHeight="1" x14ac:dyDescent="0.55000000000000004">
      <c r="A1" s="8" t="s">
        <v>36</v>
      </c>
      <c r="B1" s="7"/>
      <c r="C1" s="7"/>
      <c r="D1" s="7"/>
      <c r="E1" s="7"/>
      <c r="F1" s="7"/>
      <c r="G1" s="7"/>
      <c r="H1" s="7"/>
      <c r="I1" s="7"/>
      <c r="J1" s="7"/>
    </row>
    <row r="4" spans="1:10" x14ac:dyDescent="0.35">
      <c r="A4" s="1" t="s">
        <v>23</v>
      </c>
      <c r="B4" s="2" t="s">
        <v>33</v>
      </c>
    </row>
    <row r="6" spans="1:10" x14ac:dyDescent="0.35">
      <c r="A6" s="4" t="s">
        <v>37</v>
      </c>
      <c r="B6" s="1" t="str" cm="1">
        <f t="array" ref="B6:B7">_xll.XLL_CA_LIST_INTERACTIONS_G(Start!$B$10,$B$4)</f>
        <v>(Ca)^[0]-(Zn)^[0]: (O) (Quasichemical)</v>
      </c>
    </row>
    <row r="7" spans="1:10" x14ac:dyDescent="0.35">
      <c r="B7" t="str">
        <v>(Ca)^[0]-(Zn)^[1]: (O) (Quasichemical)</v>
      </c>
    </row>
    <row r="22" spans="1:7" x14ac:dyDescent="0.35">
      <c r="A22" s="6" t="s">
        <v>38</v>
      </c>
      <c r="B22" s="7"/>
      <c r="C22" s="7"/>
      <c r="D22" s="7"/>
      <c r="E22" s="7"/>
      <c r="F22" s="7"/>
      <c r="G22" s="7"/>
    </row>
    <row r="24" spans="1:7" x14ac:dyDescent="0.35">
      <c r="A24" s="1" t="s">
        <v>39</v>
      </c>
      <c r="B24" s="1" t="str">
        <f>B6</f>
        <v>(Ca)^[0]-(Zn)^[0]: (O) (Quasichemical)</v>
      </c>
    </row>
    <row r="25" spans="1:7" x14ac:dyDescent="0.35">
      <c r="A25" s="1" t="s">
        <v>40</v>
      </c>
      <c r="B25" s="1">
        <f>_xll.XLL_CA_GET_INTERACTION_INDICES(Start!$B$10,$B$4,$B$24)</f>
        <v>1</v>
      </c>
    </row>
    <row r="28" spans="1:7" x14ac:dyDescent="0.35">
      <c r="B28" s="4" t="s">
        <v>41</v>
      </c>
      <c r="C28" s="4" t="s">
        <v>42</v>
      </c>
      <c r="D28" s="4" t="s">
        <v>43</v>
      </c>
      <c r="E28" s="4" t="s">
        <v>44</v>
      </c>
      <c r="F28" s="4" t="s">
        <v>45</v>
      </c>
      <c r="G28" s="4" t="s">
        <v>46</v>
      </c>
    </row>
    <row r="29" spans="1:7" x14ac:dyDescent="0.35">
      <c r="B29" s="1" cm="1">
        <f t="array" ref="B29:G29">_xll.XLL_CA_GET_INTERACTION_PARAMETERS_G(Start!$B$10,$B$4,$B$24,0)</f>
        <v>-26652.080000000002</v>
      </c>
      <c r="C29">
        <v>0</v>
      </c>
      <c r="D29">
        <v>0</v>
      </c>
      <c r="E29">
        <v>0</v>
      </c>
      <c r="F29">
        <v>0</v>
      </c>
      <c r="G29">
        <v>0</v>
      </c>
    </row>
  </sheetData>
  <mergeCells count="2">
    <mergeCell ref="A1:J1"/>
    <mergeCell ref="A22:G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workbookViewId="0"/>
  </sheetViews>
  <sheetFormatPr defaultRowHeight="14.5" x14ac:dyDescent="0.35"/>
  <cols>
    <col min="1" max="1" width="14.1796875" bestFit="1" customWidth="1"/>
    <col min="2" max="2" width="33.54296875" bestFit="1" customWidth="1"/>
    <col min="3" max="16" width="18" customWidth="1"/>
  </cols>
  <sheetData>
    <row r="1" spans="1:10" ht="23.5" customHeight="1" x14ac:dyDescent="0.55000000000000004">
      <c r="A1" s="8" t="s">
        <v>47</v>
      </c>
      <c r="B1" s="7"/>
      <c r="C1" s="7"/>
      <c r="D1" s="7"/>
      <c r="E1" s="7"/>
      <c r="F1" s="7"/>
      <c r="G1" s="7"/>
      <c r="H1" s="7"/>
      <c r="I1" s="7"/>
      <c r="J1" s="7"/>
    </row>
    <row r="4" spans="1:10" ht="30" customHeight="1" x14ac:dyDescent="0.35">
      <c r="A4" s="12" t="s">
        <v>48</v>
      </c>
      <c r="B4" s="7"/>
      <c r="C4" s="7"/>
      <c r="D4" s="7"/>
      <c r="E4" s="7"/>
      <c r="F4" s="7"/>
    </row>
    <row r="8" spans="1:10" x14ac:dyDescent="0.35">
      <c r="A8" s="1" t="s">
        <v>23</v>
      </c>
      <c r="B8" s="2" t="s">
        <v>33</v>
      </c>
    </row>
    <row r="9" spans="1:10" x14ac:dyDescent="0.35">
      <c r="A9" s="1" t="s">
        <v>39</v>
      </c>
      <c r="B9" s="1" t="str">
        <f>Interactions!B24</f>
        <v>(Ca)^[0]-(Zn)^[0]: (O) (Quasichemical)</v>
      </c>
    </row>
    <row r="10" spans="1:10" x14ac:dyDescent="0.35">
      <c r="A10" s="1" t="s">
        <v>49</v>
      </c>
      <c r="B10" s="2">
        <v>1</v>
      </c>
    </row>
    <row r="11" spans="1:10" x14ac:dyDescent="0.35">
      <c r="A11" s="1" t="s">
        <v>50</v>
      </c>
      <c r="B11" s="1">
        <f>_xll.XLL_CA_GET_INTERACTION_PARAMETERS_G(Start!$B$10,$B$8,$B$9,$B$10,$B$13)</f>
        <v>-26652.080000000002</v>
      </c>
    </row>
    <row r="12" spans="1:10" x14ac:dyDescent="0.35">
      <c r="A12" s="1" t="s">
        <v>51</v>
      </c>
      <c r="B12" s="2">
        <f>B11</f>
        <v>-26652.080000000002</v>
      </c>
    </row>
    <row r="13" spans="1:10" x14ac:dyDescent="0.35">
      <c r="A13" s="1" t="s">
        <v>52</v>
      </c>
      <c r="B13" s="5">
        <v>0</v>
      </c>
    </row>
    <row r="14" spans="1:10" x14ac:dyDescent="0.35">
      <c r="A14" s="1" t="s">
        <v>53</v>
      </c>
      <c r="B14" s="5" t="b">
        <v>0</v>
      </c>
    </row>
    <row r="16" spans="1:10" x14ac:dyDescent="0.35">
      <c r="A16" s="1" t="s">
        <v>54</v>
      </c>
      <c r="B16" s="1" t="str">
        <f>IF($B$14,_xll.XLL_CA_SET_INTERACTION_PARAMETERS_G(Start!$B$10,$B$8,$B$9,$B$10,$B$12,$B$13),"Disabled")</f>
        <v>Disabled</v>
      </c>
    </row>
    <row r="19" spans="1:6" ht="30" customHeight="1" x14ac:dyDescent="0.35">
      <c r="A19" s="11" t="s">
        <v>55</v>
      </c>
      <c r="B19" s="7"/>
      <c r="C19" s="7"/>
      <c r="D19" s="7"/>
      <c r="E19" s="7"/>
      <c r="F19" s="7"/>
    </row>
  </sheetData>
  <mergeCells count="3">
    <mergeCell ref="A19:F19"/>
    <mergeCell ref="A1:J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</vt:lpstr>
      <vt:lpstr>Browse</vt:lpstr>
      <vt:lpstr>Compound data</vt:lpstr>
      <vt:lpstr>Constituent data</vt:lpstr>
      <vt:lpstr>Interactions</vt:lpstr>
      <vt:lpstr>Safe 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Evgenii Nekhoroshev</cp:lastModifiedBy>
  <dcterms:created xsi:type="dcterms:W3CDTF">2026-09-23T06:54:12Z</dcterms:created>
  <dcterms:modified xsi:type="dcterms:W3CDTF">2026-09-23T06:55:00Z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2026-09-23T06:55:00Z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8c26cb20-a71a-42f9-a913-2ed912703842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