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Runtime" sheetId="2" state="visible" r:id="rId2"/>
    <sheet xmlns:r="http://schemas.openxmlformats.org/officeDocument/2006/relationships" name="Explore" sheetId="3" state="visible" r:id="rId3"/>
    <sheet xmlns:r="http://schemas.openxmlformats.org/officeDocument/2006/relationships" name="Basis + utilities" sheetId="4" state="visible" r:id="rId4"/>
    <sheet xmlns:r="http://schemas.openxmlformats.org/officeDocument/2006/relationships" name="First equilibrium" sheetId="5" state="visible" r:id="rId5"/>
    <sheet xmlns:r="http://schemas.openxmlformats.org/officeDocument/2006/relationships" name="Equilibrium" sheetId="6" state="visible" r:id="rId6"/>
    <sheet xmlns:r="http://schemas.openxmlformats.org/officeDocument/2006/relationships" name="Temperature sweep" sheetId="7" state="visible" r:id="rId7"/>
    <sheet xmlns:r="http://schemas.openxmlformats.org/officeDocument/2006/relationships" name="Phase selection" sheetId="8" state="visible" r:id="rId8"/>
    <sheet xmlns:r="http://schemas.openxmlformats.org/officeDocument/2006/relationships" name="Phase target" sheetId="9" state="visible" r:id="rId9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</font>
    <font>
      <color rgb="000000FF"/>
    </font>
    <font>
      <color rgb="00008000"/>
      <u val="single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7E6E6"/>
      </patternFill>
    </fill>
    <fill>
      <patternFill patternType="solid">
        <fgColor rgb="00DDEBF7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2" fillId="2" borderId="0" applyAlignment="1" pivotButton="0" quotePrefix="0" xfId="0">
      <alignment horizontal="center" wrapText="1"/>
    </xf>
    <xf numFmtId="0" fontId="0" fillId="4" borderId="0" pivotButton="0" quotePrefix="0" xfId="0"/>
    <xf numFmtId="0" fontId="0" fillId="5" borderId="0" applyAlignment="1" pivotButton="0" quotePrefix="0" xfId="0">
      <alignment wrapText="1"/>
    </xf>
    <xf numFmtId="0" fontId="0" fillId="6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Phase amounts at 1200 °C</a:t>
            </a:r>
          </a:p>
        </rich>
      </tx>
    </title>
    <plotArea>
      <lineChart>
        <grouping val="standard"/>
        <ser>
          <idx val="0"/>
          <order val="0"/>
          <tx>
            <v>Slag-liq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'Equilibrium'!$D$7:$D$17</f>
            </numRef>
          </cat>
          <val>
            <numRef>
              <f>'Equilibrium'!$I$7:$I$17</f>
            </numRef>
          </val>
        </ser>
        <ser>
          <idx val="1"/>
          <order val="1"/>
          <tx>
            <v>Monoxide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'Equilibrium'!$D$7:$D$17</f>
            </numRef>
          </cat>
          <val>
            <numRef>
              <f>'Equilibrium'!$J$7:$J$17</f>
            </numRef>
          </val>
        </ser>
        <ser>
          <idx val="2"/>
          <order val="2"/>
          <tx>
            <v>Zincite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'Equilibrium'!$D$7:$D$17</f>
            </numRef>
          </cat>
          <val>
            <numRef>
              <f>'Equilibrium'!$K$7:$K$17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CaO fraction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Phase amounts vs temperature</a:t>
            </a:r>
          </a:p>
        </rich>
      </tx>
    </title>
    <plotArea>
      <lineChart>
        <grouping val="standard"/>
        <ser>
          <idx val="0"/>
          <order val="0"/>
          <tx>
            <v>Slag-liq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'Temperature sweep'!$H$7:$H$18</f>
            </numRef>
          </cat>
          <val>
            <numRef>
              <f>'Temperature sweep'!$I$7:$I$18</f>
            </numRef>
          </val>
        </ser>
        <ser>
          <idx val="1"/>
          <order val="1"/>
          <tx>
            <v>Monoxide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'Temperature sweep'!$H$7:$H$18</f>
            </numRef>
          </cat>
          <val>
            <numRef>
              <f>'Temperature sweep'!$J$7:$J$18</f>
            </numRef>
          </val>
        </ser>
        <ser>
          <idx val="2"/>
          <order val="2"/>
          <tx>
            <v>Zincite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'Temperature sweep'!$H$7:$H$18</f>
            </numRef>
          </cat>
          <val>
            <numRef>
              <f>'Temperature sweep'!$K$7:$K$18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Temperature [°C]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3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14</col>
      <colOff>0</colOff>
      <row>3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vnekdev.github.io/pyroapp-docs/tutorial-assets/datafiles/examples/Ca-Zn-O.dat" TargetMode="External" Id="rId1"/><Relationship Type="http://schemas.openxmlformats.org/officeDocument/2006/relationships/hyperlink" Target="https://evnekdev.github.io/pyroapp-docs/" TargetMode="External" Id="rId2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PyroApp Example 01 — Getting Started (Ca-Zn-O)</t>
        </is>
      </c>
    </row>
    <row r="2" ht="36" customHeight="1">
      <c r="A2" s="2" t="inlineStr">
        <is>
          <t>Runtime checks, DAT discovery, basis conversion, mesh generation, equilibrium tables, sweeps and phase targets.</t>
        </is>
      </c>
    </row>
    <row r="4">
      <c r="A4" s="3" t="inlineStr">
        <is>
          <t>Before you calculate</t>
        </is>
      </c>
    </row>
    <row r="5">
      <c r="A5" t="inlineStr">
        <is>
          <t>1. Install/load PyroApp in desktop Excel.</t>
        </is>
      </c>
    </row>
    <row r="6">
      <c r="A6" t="inlineStr">
        <is>
          <t>2. Download Ca-Zn-O.dat and place it beside this workbook.</t>
        </is>
      </c>
    </row>
    <row r="7">
      <c r="A7" t="inlineStr">
        <is>
          <t>3. Blue cells are inputs; black cells are formulas; purple cells are controls.</t>
        </is>
      </c>
    </row>
    <row r="8">
      <c r="A8" t="inlineStr">
        <is>
          <t>4. The workbooks use literal text "" in unused CA_CALCULATE header cells (no leading equals sign).</t>
        </is>
      </c>
    </row>
    <row r="10">
      <c r="A10" t="inlineStr">
        <is>
          <t>Datafile</t>
        </is>
      </c>
      <c r="B10" s="4" t="inlineStr">
        <is>
          <t>Ca-Zn-O.dat</t>
        </is>
      </c>
    </row>
    <row r="11">
      <c r="A11" t="inlineStr">
        <is>
          <t>Download DAT</t>
        </is>
      </c>
      <c r="B11" s="5" t="inlineStr">
        <is>
          <t>Ca-Zn-O.dat</t>
        </is>
      </c>
    </row>
    <row r="12">
      <c r="A12" t="inlineStr">
        <is>
          <t>Docs</t>
        </is>
      </c>
      <c r="B12" s="5" t="inlineStr">
        <is>
          <t>PyroApp documentation</t>
        </is>
      </c>
    </row>
    <row r="14">
      <c r="A14" t="inlineStr">
        <is>
          <t>PyroApp status</t>
        </is>
      </c>
      <c r="B14">
        <f>IFERROR(XLL_CA_VERSION(),"PyroApp not loaded")</f>
        <v/>
      </c>
    </row>
  </sheetData>
  <mergeCells count="7">
    <mergeCell ref="A4:H4"/>
    <mergeCell ref="A1:J1"/>
    <mergeCell ref="A7:H7"/>
    <mergeCell ref="A2:J2"/>
    <mergeCell ref="A5:H5"/>
    <mergeCell ref="A8:H8"/>
    <mergeCell ref="A6:H6"/>
  </mergeCells>
  <hyperlinks>
    <hyperlink xmlns:r="http://schemas.openxmlformats.org/officeDocument/2006/relationships" ref="B11" r:id="rId1"/>
    <hyperlink xmlns:r="http://schemas.openxmlformats.org/officeDocument/2006/relationships" ref="B12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Runtime and licence information</t>
        </is>
      </c>
    </row>
    <row r="5">
      <c r="A5" t="inlineStr">
        <is>
          <t>Version</t>
        </is>
      </c>
      <c r="B5">
        <f>XLL_CA_VERSION()</f>
        <v/>
      </c>
    </row>
    <row r="6">
      <c r="A6" t="inlineStr">
        <is>
          <t>Lite?</t>
        </is>
      </c>
      <c r="B6">
        <f>XLL_CA_ISLITE()</f>
        <v/>
      </c>
    </row>
    <row r="7">
      <c r="A7" t="inlineStr">
        <is>
          <t>User ID</t>
        </is>
      </c>
      <c r="B7">
        <f>XLL_CA_USER_ID()</f>
        <v/>
      </c>
    </row>
    <row r="8">
      <c r="A8" t="inlineStr">
        <is>
          <t>Licence holder</t>
        </is>
      </c>
      <c r="B8">
        <f>XLL_CA_LICENSE_HOLDER_NAME()</f>
        <v/>
      </c>
    </row>
    <row r="9">
      <c r="A9" t="inlineStr">
        <is>
          <t>Program ID</t>
        </is>
      </c>
      <c r="B9">
        <f>XLL_CA_PROGRAM_ID()</f>
        <v/>
      </c>
    </row>
    <row r="10">
      <c r="A10" t="inlineStr">
        <is>
          <t>Maximum dimensions</t>
        </is>
      </c>
      <c r="B10">
        <f>XLL_CA_DIMENSIONS_MAX()</f>
        <v/>
      </c>
    </row>
    <row r="11">
      <c r="A11" t="inlineStr">
        <is>
          <t>DLLs</t>
        </is>
      </c>
      <c r="B11">
        <f>XLL_CA_CHEMAPPDLLS()</f>
        <v/>
      </c>
    </row>
    <row r="12">
      <c r="A12" t="inlineStr">
        <is>
          <t>DAT dimensions</t>
        </is>
      </c>
      <c r="B12">
        <f>XLL_CA_DIMENSIONS(Start!$B$10)</f>
        <v/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4" customWidth="1" min="3" max="3"/>
    <col width="28" customWidth="1" min="4" max="4"/>
    <col width="4" customWidth="1" min="5" max="5"/>
    <col width="28" customWidth="1" min="6" max="6"/>
    <col width="4" customWidth="1" min="7" max="7"/>
    <col width="28" customWidth="1" min="8" max="8"/>
    <col width="4" customWidth="1" min="9" max="9"/>
    <col width="34" customWidth="1" min="10" max="10"/>
    <col width="4" customWidth="1" min="11" max="11"/>
    <col width="34" customWidth="1" min="12" max="12"/>
  </cols>
  <sheetData>
    <row r="1">
      <c r="A1" s="1" t="inlineStr">
        <is>
          <t>Explore the datafile</t>
        </is>
      </c>
    </row>
    <row r="2" ht="36" customHeight="1">
      <c r="A2" s="2" t="inlineStr">
        <is>
          <t>LIST functions return exact DAT identities.</t>
        </is>
      </c>
    </row>
    <row r="4">
      <c r="A4" s="6" t="inlineStr">
        <is>
          <t>Components</t>
        </is>
      </c>
      <c r="C4" s="6" t="inlineStr">
        <is>
          <t>Phases</t>
        </is>
      </c>
      <c r="E4" s="6" t="inlineStr">
        <is>
          <t>Solutions</t>
        </is>
      </c>
      <c r="G4" s="6" t="inlineStr">
        <is>
          <t>Compounds</t>
        </is>
      </c>
      <c r="I4" s="6" t="inlineStr">
        <is>
          <t>Slag-liq constituents</t>
        </is>
      </c>
      <c r="K4" s="6" t="inlineStr">
        <is>
          <t>Slag-liq species</t>
        </is>
      </c>
    </row>
    <row r="5">
      <c r="A5">
        <f>XLL_CA_LIST_COMPONENTS(Start!$B$10)</f>
        <v/>
      </c>
      <c r="C5">
        <f>XLL_CA_LIST_PHASES(Start!$B$10)</f>
        <v/>
      </c>
      <c r="E5">
        <f>XLL_CA_LIST_SOLUTIONS(Start!$B$10)</f>
        <v/>
      </c>
      <c r="G5">
        <f>XLL_CA_LIST_COMPOUNDS(Start!$B$10)</f>
        <v/>
      </c>
      <c r="I5">
        <f>XLL_CA_LIST_CONSTITUENTS(Start!$B$10,"Slag-liq")</f>
        <v/>
      </c>
      <c r="K5">
        <f>XLL_CA_LIST_SPECIES(Start!$B$10,"Slag-liq")</f>
        <v/>
      </c>
    </row>
    <row r="26">
      <c r="A26" s="3" t="inlineStr">
        <is>
          <t>Direct property lookups</t>
        </is>
      </c>
    </row>
    <row r="28">
      <c r="A28" t="inlineStr">
        <is>
          <t>Zn molar mass</t>
        </is>
      </c>
      <c r="B28">
        <f>XLL_CA_GET_COMPONENT_WEIGHTS(Start!$B$10,"Zn")</f>
        <v/>
      </c>
    </row>
    <row r="29">
      <c r="A29" t="inlineStr">
        <is>
          <t>Ca molar mass</t>
        </is>
      </c>
      <c r="B29">
        <f>XLL_CA_GET_COMPONENT_WEIGHTS(Start!$B$10,"Ca")</f>
        <v/>
      </c>
    </row>
    <row r="30">
      <c r="A30" t="inlineStr">
        <is>
          <t>ZnO(s) H298</t>
        </is>
      </c>
      <c r="B30">
        <f>XLL_CA_GET_COMPOUND_H298(Start!$B$10,"ZnO(s)")</f>
        <v/>
      </c>
    </row>
  </sheetData>
  <mergeCells count="3">
    <mergeCell ref="A26:F26"/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Composition-basis lab and mesh generation</t>
        </is>
      </c>
    </row>
    <row r="2" ht="36" customHeight="1">
      <c r="A2" s="2" t="inlineStr">
        <is>
          <t>Each block has one clearly labelled conversion. Blue cells are inputs; the selected formula cell spills the converted composition.</t>
        </is>
      </c>
    </row>
    <row r="4">
      <c r="A4" s="3" t="inlineStr">
        <is>
          <t>1. One molar-fraction row: CaO + ZnO → elemental Ca, Zn, O</t>
        </is>
      </c>
      <c r="I4" s="6" t="inlineStr">
        <is>
          <t>Uniform simplex mesh</t>
        </is>
      </c>
    </row>
    <row r="5">
      <c r="B5" s="6" t="inlineStr">
        <is>
          <t>CaO</t>
        </is>
      </c>
      <c r="C5" s="6" t="inlineStr">
        <is>
          <t>ZnO</t>
        </is>
      </c>
      <c r="E5" s="6" t="inlineStr">
        <is>
          <t>Ca</t>
        </is>
      </c>
      <c r="F5" s="6" t="inlineStr">
        <is>
          <t>Zn</t>
        </is>
      </c>
      <c r="G5" s="6" t="inlineStr">
        <is>
          <t>O</t>
        </is>
      </c>
      <c r="I5" t="inlineStr">
        <is>
          <t>nintervals</t>
        </is>
      </c>
      <c r="J5" s="4" t="n">
        <v>5</v>
      </c>
    </row>
    <row r="6">
      <c r="I6" t="inlineStr">
        <is>
          <t>nactive</t>
        </is>
      </c>
      <c r="J6" s="4" t="n">
        <v>2</v>
      </c>
    </row>
    <row r="7">
      <c r="A7" t="inlineStr">
        <is>
          <t>Input mole fractions</t>
        </is>
      </c>
      <c r="B7" s="4" t="n">
        <v>0.4</v>
      </c>
      <c r="C7" s="4" t="n">
        <v>0.6</v>
      </c>
      <c r="D7" t="inlineStr">
        <is>
          <t>Normalized elemental mole fractions</t>
        </is>
      </c>
      <c r="E7">
        <f>XLL_DATA_CHANGE_BASIS($B$5:$C$5,$E$5:$G$5,$B$7:$C$7,FALSE,FALSE,TRUE)</f>
        <v/>
      </c>
      <c r="I7" t="inlineStr">
        <is>
          <t>ntotal</t>
        </is>
      </c>
      <c r="J7" s="4" t="n">
        <v>3</v>
      </c>
    </row>
    <row r="9">
      <c r="I9">
        <f>XLL_DATA_GENERATE_MESH($J$5,$J$6,$J$7)</f>
        <v/>
      </c>
    </row>
    <row r="11">
      <c r="A11" s="3" t="inlineStr">
        <is>
          <t>2. Multiple molar-fraction rows: CaO + ZnO → elemental fractions</t>
        </is>
      </c>
    </row>
    <row r="13">
      <c r="A13" s="6" t="inlineStr">
        <is>
          <t>Input row</t>
        </is>
      </c>
      <c r="B13" s="6" t="inlineStr">
        <is>
          <t>CaO</t>
        </is>
      </c>
      <c r="C13" s="6" t="inlineStr">
        <is>
          <t>ZnO</t>
        </is>
      </c>
      <c r="D13" s="6" t="inlineStr">
        <is>
          <t>Ca</t>
        </is>
      </c>
      <c r="E13" s="6" t="inlineStr">
        <is>
          <t>Zn</t>
        </is>
      </c>
      <c r="F13" s="6" t="inlineStr">
        <is>
          <t>O</t>
        </is>
      </c>
    </row>
    <row r="14">
      <c r="B14" s="4" t="n">
        <v>0</v>
      </c>
      <c r="C14" s="4" t="n">
        <v>1</v>
      </c>
      <c r="D14">
        <f>XLL_DATA_CHANGE_BASIS($B$5:$C$5,$E$5:$G$5,$B$14:$C$24,FALSE,FALSE,TRUE)</f>
        <v/>
      </c>
    </row>
    <row r="15">
      <c r="B15" s="4" t="n">
        <v>0.1</v>
      </c>
      <c r="C15" s="4" t="n">
        <v>0.9</v>
      </c>
    </row>
    <row r="16">
      <c r="B16" s="4" t="n">
        <v>0.2</v>
      </c>
      <c r="C16" s="4" t="n">
        <v>0.8</v>
      </c>
    </row>
    <row r="17">
      <c r="B17" s="4" t="n">
        <v>0.3</v>
      </c>
      <c r="C17" s="4" t="n">
        <v>0.7</v>
      </c>
    </row>
    <row r="18">
      <c r="B18" s="4" t="n">
        <v>0.4</v>
      </c>
      <c r="C18" s="4" t="n">
        <v>0.6</v>
      </c>
    </row>
    <row r="19">
      <c r="B19" s="4" t="n">
        <v>0.5</v>
      </c>
      <c r="C19" s="4" t="n">
        <v>0.5</v>
      </c>
    </row>
    <row r="20">
      <c r="B20" s="4" t="n">
        <v>0.6</v>
      </c>
      <c r="C20" s="4" t="n">
        <v>0.4</v>
      </c>
    </row>
    <row r="21">
      <c r="B21" s="4" t="n">
        <v>0.7</v>
      </c>
      <c r="C21" s="4" t="n">
        <v>0.3</v>
      </c>
    </row>
    <row r="22">
      <c r="B22" s="4" t="n">
        <v>0.8</v>
      </c>
      <c r="C22" s="4" t="n">
        <v>0.2</v>
      </c>
    </row>
    <row r="23">
      <c r="B23" s="4" t="n">
        <v>0.9</v>
      </c>
      <c r="C23" s="4" t="n">
        <v>0.09999999999999998</v>
      </c>
    </row>
    <row r="24">
      <c r="B24" s="4" t="n">
        <v>1</v>
      </c>
      <c r="C24" s="4" t="n">
        <v>0</v>
      </c>
    </row>
    <row r="27">
      <c r="A27" s="3" t="inlineStr">
        <is>
          <t>3. Reverse conversion: elemental mole amounts → CaO and ZnO amounts</t>
        </is>
      </c>
    </row>
    <row r="28">
      <c r="B28" s="6" t="inlineStr">
        <is>
          <t>CaO</t>
        </is>
      </c>
      <c r="C28" s="6" t="inlineStr">
        <is>
          <t>ZnO</t>
        </is>
      </c>
      <c r="E28" s="6" t="inlineStr">
        <is>
          <t>Ca</t>
        </is>
      </c>
      <c r="F28" s="6" t="inlineStr">
        <is>
          <t>Zn</t>
        </is>
      </c>
      <c r="G28" s="6" t="inlineStr">
        <is>
          <t>O</t>
        </is>
      </c>
    </row>
    <row r="30">
      <c r="A30" t="inlineStr">
        <is>
          <t>Element amounts (mol)</t>
        </is>
      </c>
      <c r="B30">
        <f>XLL_DATA_CHANGE_BASIS($E$28:$G$28,$B$28:$C$28,$E$30:$G$30,FALSE,FALSE,FALSE)</f>
        <v/>
      </c>
      <c r="E30" s="4" t="n">
        <v>2</v>
      </c>
      <c r="F30" s="4" t="n">
        <v>1</v>
      </c>
      <c r="G30" s="4" t="n">
        <v>3</v>
      </c>
    </row>
    <row r="34">
      <c r="A34" s="3" t="inlineStr">
        <is>
          <t>4. Mass amounts: CaO + ZnO → elemental mole amounts (not normalized)</t>
        </is>
      </c>
    </row>
    <row r="35">
      <c r="B35" s="6" t="inlineStr">
        <is>
          <t>CaO</t>
        </is>
      </c>
      <c r="C35" s="6" t="inlineStr">
        <is>
          <t>ZnO</t>
        </is>
      </c>
      <c r="E35" s="6" t="inlineStr">
        <is>
          <t>Ca</t>
        </is>
      </c>
      <c r="F35" s="6" t="inlineStr">
        <is>
          <t>Zn</t>
        </is>
      </c>
      <c r="G35" s="6" t="inlineStr">
        <is>
          <t>O</t>
        </is>
      </c>
    </row>
    <row r="37">
      <c r="A37" t="inlineStr">
        <is>
          <t>Mass amounts (g)</t>
        </is>
      </c>
      <c r="B37" s="4" t="n">
        <v>112.16</v>
      </c>
      <c r="C37" s="4" t="n">
        <v>81.38</v>
      </c>
      <c r="D37" t="inlineStr">
        <is>
          <t>Element amounts (mol)</t>
        </is>
      </c>
      <c r="E37">
        <f>XLL_DATA_CHANGE_BASIS($B$35:$C$35,$E$35:$G$35,$B$37:$C$37,TRUE,FALSE,FALSE)</f>
        <v/>
      </c>
    </row>
    <row r="41">
      <c r="A41" s="3" t="inlineStr">
        <is>
          <t>5. Molar amounts: CaO + ZnO → normalized mass fractions</t>
        </is>
      </c>
    </row>
    <row r="42">
      <c r="B42" s="6" t="inlineStr">
        <is>
          <t>CaO</t>
        </is>
      </c>
      <c r="C42" s="6" t="inlineStr">
        <is>
          <t>ZnO</t>
        </is>
      </c>
      <c r="E42" s="6" t="inlineStr">
        <is>
          <t>Ca</t>
        </is>
      </c>
      <c r="F42" s="6" t="inlineStr">
        <is>
          <t>Zn</t>
        </is>
      </c>
      <c r="G42" s="6" t="inlineStr">
        <is>
          <t>O</t>
        </is>
      </c>
    </row>
    <row r="44">
      <c r="A44" t="inlineStr">
        <is>
          <t>Formula-unit amounts (mol)</t>
        </is>
      </c>
      <c r="B44" s="4" t="n">
        <v>2</v>
      </c>
      <c r="C44" s="4" t="n">
        <v>1</v>
      </c>
      <c r="D44" t="inlineStr">
        <is>
          <t>Element mass fractions</t>
        </is>
      </c>
      <c r="E44">
        <f>XLL_DATA_CHANGE_BASIS($B$42:$C$42,$E$42:$G$42,$B$44:$C$44,FALSE,TRUE,TRUE)</f>
        <v/>
      </c>
    </row>
  </sheetData>
  <mergeCells count="8">
    <mergeCell ref="A1:J1"/>
    <mergeCell ref="A27:G27"/>
    <mergeCell ref="A34:G34"/>
    <mergeCell ref="A4:G4"/>
    <mergeCell ref="I4:L4"/>
    <mergeCell ref="A2:J2"/>
    <mergeCell ref="A41:G41"/>
    <mergeCell ref="A11:G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First equilibrium calculation</t>
        </is>
      </c>
    </row>
    <row r="2" ht="36" customHeight="1">
      <c r="A2" s="2" t="inlineStr">
        <is>
          <t>One 50:50 CaO-ZnO composition at 1200 °C and 1 bar. The grey header rows use literal text "" where a phase or component is not needed.</t>
        </is>
      </c>
    </row>
    <row r="4">
      <c r="B4" s="6" t="inlineStr">
        <is>
          <t>T, [C]</t>
        </is>
      </c>
      <c r="C4" s="6" t="inlineStr">
        <is>
          <t>P, [bar]</t>
        </is>
      </c>
      <c r="D4" s="6" t="inlineStr">
        <is>
          <t>IA</t>
        </is>
      </c>
      <c r="E4" s="6" t="inlineStr">
        <is>
          <t>IA</t>
        </is>
      </c>
      <c r="F4" s="6" t="inlineStr">
        <is>
          <t>IA</t>
        </is>
      </c>
      <c r="H4" s="6" t="inlineStr">
        <is>
          <t>A</t>
        </is>
      </c>
      <c r="I4" s="6" t="inlineStr">
        <is>
          <t>A</t>
        </is>
      </c>
      <c r="J4" s="6" t="inlineStr">
        <is>
          <t>A</t>
        </is>
      </c>
      <c r="K4" s="6" t="inlineStr">
        <is>
          <t>ERROR</t>
        </is>
      </c>
      <c r="L4" s="6" t="inlineStr">
        <is>
          <t>NSTABLE</t>
        </is>
      </c>
    </row>
    <row r="5">
      <c r="B5" s="7" t="inlineStr">
        <is>
          <t>""</t>
        </is>
      </c>
      <c r="C5" s="7" t="inlineStr">
        <is>
          <t>""</t>
        </is>
      </c>
      <c r="D5" s="7" t="inlineStr">
        <is>
          <t>""</t>
        </is>
      </c>
      <c r="E5" s="7" t="inlineStr">
        <is>
          <t>""</t>
        </is>
      </c>
      <c r="F5" s="7" t="inlineStr">
        <is>
          <t>""</t>
        </is>
      </c>
      <c r="H5" s="7" t="inlineStr">
        <is>
          <t>Slag-liq</t>
        </is>
      </c>
      <c r="I5" s="7" t="inlineStr">
        <is>
          <t>Monoxide</t>
        </is>
      </c>
      <c r="J5" s="7" t="inlineStr">
        <is>
          <t>Zincite</t>
        </is>
      </c>
      <c r="K5" s="7" t="inlineStr">
        <is>
          <t>""</t>
        </is>
      </c>
      <c r="L5" s="7" t="inlineStr">
        <is>
          <t>""</t>
        </is>
      </c>
    </row>
    <row r="6">
      <c r="B6" s="7" t="inlineStr">
        <is>
          <t>""</t>
        </is>
      </c>
      <c r="C6" s="7" t="inlineStr">
        <is>
          <t>""</t>
        </is>
      </c>
      <c r="D6" s="7" t="inlineStr">
        <is>
          <t>Ca</t>
        </is>
      </c>
      <c r="E6" s="7" t="inlineStr">
        <is>
          <t>Zn</t>
        </is>
      </c>
      <c r="F6" s="7" t="inlineStr">
        <is>
          <t>O</t>
        </is>
      </c>
      <c r="H6" s="7" t="inlineStr">
        <is>
          <t>""</t>
        </is>
      </c>
      <c r="I6" s="7" t="inlineStr">
        <is>
          <t>""</t>
        </is>
      </c>
      <c r="J6" s="7" t="inlineStr">
        <is>
          <t>""</t>
        </is>
      </c>
      <c r="K6" s="7" t="inlineStr">
        <is>
          <t>""</t>
        </is>
      </c>
      <c r="L6" s="7" t="inlineStr">
        <is>
          <t>""</t>
        </is>
      </c>
    </row>
    <row r="7">
      <c r="B7" s="4" t="n">
        <v>1200</v>
      </c>
      <c r="C7" s="4" t="n">
        <v>1</v>
      </c>
      <c r="D7" s="4" t="n">
        <v>0.5</v>
      </c>
      <c r="E7" s="4" t="n">
        <v>0.5</v>
      </c>
      <c r="F7" s="4" t="n">
        <v>1</v>
      </c>
      <c r="H7">
        <f>XLL_CA_CALCULATE(Start!$B$10,$B$4:$F$6,$B$7:$F$7,$H$4:$L$6)</f>
        <v/>
      </c>
    </row>
    <row r="10">
      <c r="A10" s="8" t="inlineStr">
        <is>
          <t>Select H7 to read the complete formula in Excel’s Formula Bar. A zero ERROR result means the row solved successfully.</t>
        </is>
      </c>
    </row>
  </sheetData>
  <mergeCells count="3">
    <mergeCell ref="A1:J1"/>
    <mergeCell ref="A10:L10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Equilibrium table</t>
        </is>
      </c>
    </row>
    <row r="2" ht="36" customHeight="1">
      <c r="A2" s="2" t="inlineStr">
        <is>
          <t>Eleven independent CaO-ZnO compositions at 1200 °C and 1 bar.</t>
        </is>
      </c>
    </row>
    <row r="4">
      <c r="B4" s="6" t="inlineStr">
        <is>
          <t>T, [C]</t>
        </is>
      </c>
      <c r="C4" s="6" t="inlineStr">
        <is>
          <t>P, [bar]</t>
        </is>
      </c>
      <c r="D4" s="6" t="inlineStr">
        <is>
          <t>IA</t>
        </is>
      </c>
      <c r="E4" s="6" t="inlineStr">
        <is>
          <t>IA</t>
        </is>
      </c>
      <c r="F4" s="6" t="inlineStr">
        <is>
          <t>IA</t>
        </is>
      </c>
      <c r="H4" s="6" t="inlineStr">
        <is>
          <t>T, [C]</t>
        </is>
      </c>
      <c r="I4" s="6" t="inlineStr">
        <is>
          <t>A</t>
        </is>
      </c>
      <c r="J4" s="6" t="inlineStr">
        <is>
          <t>A</t>
        </is>
      </c>
      <c r="K4" s="6" t="inlineStr">
        <is>
          <t>A</t>
        </is>
      </c>
      <c r="L4" s="6" t="inlineStr">
        <is>
          <t>XP</t>
        </is>
      </c>
      <c r="M4" s="6" t="inlineStr">
        <is>
          <t>ERROR</t>
        </is>
      </c>
      <c r="N4" s="6" t="inlineStr">
        <is>
          <t>NSTABLE</t>
        </is>
      </c>
    </row>
    <row r="5">
      <c r="B5" s="7" t="inlineStr">
        <is>
          <t>""</t>
        </is>
      </c>
      <c r="C5" s="7" t="inlineStr">
        <is>
          <t>""</t>
        </is>
      </c>
      <c r="D5" s="7" t="inlineStr">
        <is>
          <t>""</t>
        </is>
      </c>
      <c r="E5" s="7" t="inlineStr">
        <is>
          <t>""</t>
        </is>
      </c>
      <c r="F5" s="7" t="inlineStr">
        <is>
          <t>""</t>
        </is>
      </c>
      <c r="H5" s="7" t="inlineStr">
        <is>
          <t>""</t>
        </is>
      </c>
      <c r="I5" s="7" t="inlineStr">
        <is>
          <t>Slag-liq</t>
        </is>
      </c>
      <c r="J5" s="7" t="inlineStr">
        <is>
          <t>Monoxide</t>
        </is>
      </c>
      <c r="K5" s="7" t="inlineStr">
        <is>
          <t>Zincite</t>
        </is>
      </c>
      <c r="L5" s="7" t="inlineStr">
        <is>
          <t>Slag-liq</t>
        </is>
      </c>
      <c r="M5" s="7" t="inlineStr">
        <is>
          <t>""</t>
        </is>
      </c>
      <c r="N5" s="7" t="inlineStr">
        <is>
          <t>""</t>
        </is>
      </c>
    </row>
    <row r="6">
      <c r="B6" s="7" t="inlineStr">
        <is>
          <t>""</t>
        </is>
      </c>
      <c r="C6" s="7" t="inlineStr">
        <is>
          <t>""</t>
        </is>
      </c>
      <c r="D6" s="7" t="inlineStr">
        <is>
          <t>Ca</t>
        </is>
      </c>
      <c r="E6" s="7" t="inlineStr">
        <is>
          <t>Zn</t>
        </is>
      </c>
      <c r="F6" s="7" t="inlineStr">
        <is>
          <t>O</t>
        </is>
      </c>
      <c r="H6" s="7" t="inlineStr">
        <is>
          <t>""</t>
        </is>
      </c>
      <c r="I6" s="7" t="inlineStr">
        <is>
          <t>""</t>
        </is>
      </c>
      <c r="J6" s="7" t="inlineStr">
        <is>
          <t>""</t>
        </is>
      </c>
      <c r="K6" s="7" t="inlineStr">
        <is>
          <t>""</t>
        </is>
      </c>
      <c r="L6" s="7" t="inlineStr">
        <is>
          <t>Zn</t>
        </is>
      </c>
      <c r="M6" s="7" t="inlineStr">
        <is>
          <t>""</t>
        </is>
      </c>
      <c r="N6" s="7" t="inlineStr">
        <is>
          <t>""</t>
        </is>
      </c>
    </row>
    <row r="7">
      <c r="B7" s="4" t="n">
        <v>1200</v>
      </c>
      <c r="C7" s="4" t="n">
        <v>1</v>
      </c>
      <c r="D7" s="4" t="n">
        <v>0</v>
      </c>
      <c r="E7" s="4" t="n">
        <v>1</v>
      </c>
      <c r="F7" s="4" t="n">
        <v>1</v>
      </c>
      <c r="H7">
        <f>XLL_CA_CALCULATE(Start!$B$10,$B$4:$F$6,$B$7:$F$17,$H$4:$N$6)</f>
        <v/>
      </c>
    </row>
    <row r="8">
      <c r="B8" s="4" t="n">
        <v>1200</v>
      </c>
      <c r="C8" s="4" t="n">
        <v>1</v>
      </c>
      <c r="D8" s="4" t="n">
        <v>0.1</v>
      </c>
      <c r="E8" s="4" t="n">
        <v>0.9</v>
      </c>
      <c r="F8" s="4" t="n">
        <v>1</v>
      </c>
    </row>
    <row r="9">
      <c r="B9" s="4" t="n">
        <v>1200</v>
      </c>
      <c r="C9" s="4" t="n">
        <v>1</v>
      </c>
      <c r="D9" s="4" t="n">
        <v>0.2</v>
      </c>
      <c r="E9" s="4" t="n">
        <v>0.8</v>
      </c>
      <c r="F9" s="4" t="n">
        <v>1</v>
      </c>
    </row>
    <row r="10">
      <c r="B10" s="4" t="n">
        <v>1200</v>
      </c>
      <c r="C10" s="4" t="n">
        <v>1</v>
      </c>
      <c r="D10" s="4" t="n">
        <v>0.3</v>
      </c>
      <c r="E10" s="4" t="n">
        <v>0.7</v>
      </c>
      <c r="F10" s="4" t="n">
        <v>1</v>
      </c>
    </row>
    <row r="11">
      <c r="B11" s="4" t="n">
        <v>1200</v>
      </c>
      <c r="C11" s="4" t="n">
        <v>1</v>
      </c>
      <c r="D11" s="4" t="n">
        <v>0.4</v>
      </c>
      <c r="E11" s="4" t="n">
        <v>0.6</v>
      </c>
      <c r="F11" s="4" t="n">
        <v>1</v>
      </c>
    </row>
    <row r="12">
      <c r="B12" s="4" t="n">
        <v>1200</v>
      </c>
      <c r="C12" s="4" t="n">
        <v>1</v>
      </c>
      <c r="D12" s="4" t="n">
        <v>0.5</v>
      </c>
      <c r="E12" s="4" t="n">
        <v>0.5</v>
      </c>
      <c r="F12" s="4" t="n">
        <v>1</v>
      </c>
    </row>
    <row r="13">
      <c r="B13" s="4" t="n">
        <v>1200</v>
      </c>
      <c r="C13" s="4" t="n">
        <v>1</v>
      </c>
      <c r="D13" s="4" t="n">
        <v>0.6</v>
      </c>
      <c r="E13" s="4" t="n">
        <v>0.4</v>
      </c>
      <c r="F13" s="4" t="n">
        <v>1</v>
      </c>
    </row>
    <row r="14">
      <c r="B14" s="4" t="n">
        <v>1200</v>
      </c>
      <c r="C14" s="4" t="n">
        <v>1</v>
      </c>
      <c r="D14" s="4" t="n">
        <v>0.7</v>
      </c>
      <c r="E14" s="4" t="n">
        <v>0.3</v>
      </c>
      <c r="F14" s="4" t="n">
        <v>1</v>
      </c>
    </row>
    <row r="15">
      <c r="B15" s="4" t="n">
        <v>1200</v>
      </c>
      <c r="C15" s="4" t="n">
        <v>1</v>
      </c>
      <c r="D15" s="4" t="n">
        <v>0.8</v>
      </c>
      <c r="E15" s="4" t="n">
        <v>0.2</v>
      </c>
      <c r="F15" s="4" t="n">
        <v>1</v>
      </c>
    </row>
    <row r="16">
      <c r="B16" s="4" t="n">
        <v>1200</v>
      </c>
      <c r="C16" s="4" t="n">
        <v>1</v>
      </c>
      <c r="D16" s="4" t="n">
        <v>0.9</v>
      </c>
      <c r="E16" s="4" t="n">
        <v>0.09999999999999998</v>
      </c>
      <c r="F16" s="4" t="n">
        <v>1</v>
      </c>
    </row>
    <row r="17">
      <c r="B17" s="4" t="n">
        <v>1200</v>
      </c>
      <c r="C17" s="4" t="n">
        <v>1</v>
      </c>
      <c r="D17" s="4" t="n">
        <v>1</v>
      </c>
      <c r="E17" s="4" t="n">
        <v>0</v>
      </c>
      <c r="F17" s="4" t="n">
        <v>1</v>
      </c>
    </row>
  </sheetData>
  <mergeCells count="2">
    <mergeCell ref="A1:J1"/>
    <mergeCell ref="A2:J2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Temperature sweep</t>
        </is>
      </c>
    </row>
    <row r="2" ht="36" customHeight="1">
      <c r="A2" s="2" t="inlineStr">
        <is>
          <t>50:50 CaO-ZnO from 700 to 1800 °C.</t>
        </is>
      </c>
    </row>
    <row r="4">
      <c r="B4" s="6" t="inlineStr">
        <is>
          <t>T, [C]</t>
        </is>
      </c>
      <c r="C4" s="6" t="inlineStr">
        <is>
          <t>P, [bar]</t>
        </is>
      </c>
      <c r="D4" s="6" t="inlineStr">
        <is>
          <t>IA</t>
        </is>
      </c>
      <c r="E4" s="6" t="inlineStr">
        <is>
          <t>IA</t>
        </is>
      </c>
      <c r="F4" s="6" t="inlineStr">
        <is>
          <t>IA</t>
        </is>
      </c>
      <c r="H4" s="6" t="inlineStr">
        <is>
          <t>T, [C]</t>
        </is>
      </c>
      <c r="I4" s="6" t="inlineStr">
        <is>
          <t>A</t>
        </is>
      </c>
      <c r="J4" s="6" t="inlineStr">
        <is>
          <t>A</t>
        </is>
      </c>
      <c r="K4" s="6" t="inlineStr">
        <is>
          <t>A</t>
        </is>
      </c>
      <c r="L4" s="6" t="inlineStr">
        <is>
          <t>ERROR</t>
        </is>
      </c>
      <c r="M4" s="6" t="inlineStr">
        <is>
          <t>NSTABLE</t>
        </is>
      </c>
    </row>
    <row r="5">
      <c r="B5" s="7" t="inlineStr">
        <is>
          <t>""</t>
        </is>
      </c>
      <c r="C5" s="7" t="inlineStr">
        <is>
          <t>""</t>
        </is>
      </c>
      <c r="D5" s="7" t="inlineStr">
        <is>
          <t>""</t>
        </is>
      </c>
      <c r="E5" s="7" t="inlineStr">
        <is>
          <t>""</t>
        </is>
      </c>
      <c r="F5" s="7" t="inlineStr">
        <is>
          <t>""</t>
        </is>
      </c>
      <c r="H5" s="7" t="inlineStr">
        <is>
          <t>""</t>
        </is>
      </c>
      <c r="I5" s="7" t="inlineStr">
        <is>
          <t>Slag-liq</t>
        </is>
      </c>
      <c r="J5" s="7" t="inlineStr">
        <is>
          <t>Monoxide</t>
        </is>
      </c>
      <c r="K5" s="7" t="inlineStr">
        <is>
          <t>Zincite</t>
        </is>
      </c>
      <c r="L5" s="7" t="inlineStr">
        <is>
          <t>""</t>
        </is>
      </c>
      <c r="M5" s="7" t="inlineStr">
        <is>
          <t>""</t>
        </is>
      </c>
    </row>
    <row r="6">
      <c r="B6" s="7" t="inlineStr">
        <is>
          <t>""</t>
        </is>
      </c>
      <c r="C6" s="7" t="inlineStr">
        <is>
          <t>""</t>
        </is>
      </c>
      <c r="D6" s="7" t="inlineStr">
        <is>
          <t>Ca</t>
        </is>
      </c>
      <c r="E6" s="7" t="inlineStr">
        <is>
          <t>Zn</t>
        </is>
      </c>
      <c r="F6" s="7" t="inlineStr">
        <is>
          <t>O</t>
        </is>
      </c>
      <c r="H6" s="7" t="inlineStr">
        <is>
          <t>""</t>
        </is>
      </c>
      <c r="I6" s="7" t="inlineStr">
        <is>
          <t>""</t>
        </is>
      </c>
      <c r="J6" s="7" t="inlineStr">
        <is>
          <t>""</t>
        </is>
      </c>
      <c r="K6" s="7" t="inlineStr">
        <is>
          <t>""</t>
        </is>
      </c>
      <c r="L6" s="7" t="inlineStr">
        <is>
          <t>""</t>
        </is>
      </c>
      <c r="M6" s="7" t="inlineStr">
        <is>
          <t>""</t>
        </is>
      </c>
    </row>
    <row r="7">
      <c r="B7" s="4" t="n">
        <v>700</v>
      </c>
      <c r="C7" s="4" t="n">
        <v>1</v>
      </c>
      <c r="D7" s="4" t="n">
        <v>0.5</v>
      </c>
      <c r="E7" s="4" t="n">
        <v>0.5</v>
      </c>
      <c r="F7" s="4" t="n">
        <v>1</v>
      </c>
      <c r="H7">
        <f>XLL_CA_CALCULATE(Start!$B$10,$B$4:$F$6,$B$7:$F$18,$H$4:$M$6)</f>
        <v/>
      </c>
    </row>
    <row r="8">
      <c r="B8" s="4" t="n">
        <v>800</v>
      </c>
      <c r="C8" s="4" t="n">
        <v>1</v>
      </c>
      <c r="D8" s="4" t="n">
        <v>0.5</v>
      </c>
      <c r="E8" s="4" t="n">
        <v>0.5</v>
      </c>
      <c r="F8" s="4" t="n">
        <v>1</v>
      </c>
    </row>
    <row r="9">
      <c r="B9" s="4" t="n">
        <v>900</v>
      </c>
      <c r="C9" s="4" t="n">
        <v>1</v>
      </c>
      <c r="D9" s="4" t="n">
        <v>0.5</v>
      </c>
      <c r="E9" s="4" t="n">
        <v>0.5</v>
      </c>
      <c r="F9" s="4" t="n">
        <v>1</v>
      </c>
    </row>
    <row r="10">
      <c r="B10" s="4" t="n">
        <v>1000</v>
      </c>
      <c r="C10" s="4" t="n">
        <v>1</v>
      </c>
      <c r="D10" s="4" t="n">
        <v>0.5</v>
      </c>
      <c r="E10" s="4" t="n">
        <v>0.5</v>
      </c>
      <c r="F10" s="4" t="n">
        <v>1</v>
      </c>
    </row>
    <row r="11">
      <c r="B11" s="4" t="n">
        <v>1100</v>
      </c>
      <c r="C11" s="4" t="n">
        <v>1</v>
      </c>
      <c r="D11" s="4" t="n">
        <v>0.5</v>
      </c>
      <c r="E11" s="4" t="n">
        <v>0.5</v>
      </c>
      <c r="F11" s="4" t="n">
        <v>1</v>
      </c>
    </row>
    <row r="12">
      <c r="B12" s="4" t="n">
        <v>1200</v>
      </c>
      <c r="C12" s="4" t="n">
        <v>1</v>
      </c>
      <c r="D12" s="4" t="n">
        <v>0.5</v>
      </c>
      <c r="E12" s="4" t="n">
        <v>0.5</v>
      </c>
      <c r="F12" s="4" t="n">
        <v>1</v>
      </c>
    </row>
    <row r="13">
      <c r="B13" s="4" t="n">
        <v>1300</v>
      </c>
      <c r="C13" s="4" t="n">
        <v>1</v>
      </c>
      <c r="D13" s="4" t="n">
        <v>0.5</v>
      </c>
      <c r="E13" s="4" t="n">
        <v>0.5</v>
      </c>
      <c r="F13" s="4" t="n">
        <v>1</v>
      </c>
    </row>
    <row r="14">
      <c r="B14" s="4" t="n">
        <v>1400</v>
      </c>
      <c r="C14" s="4" t="n">
        <v>1</v>
      </c>
      <c r="D14" s="4" t="n">
        <v>0.5</v>
      </c>
      <c r="E14" s="4" t="n">
        <v>0.5</v>
      </c>
      <c r="F14" s="4" t="n">
        <v>1</v>
      </c>
    </row>
    <row r="15">
      <c r="B15" s="4" t="n">
        <v>1500</v>
      </c>
      <c r="C15" s="4" t="n">
        <v>1</v>
      </c>
      <c r="D15" s="4" t="n">
        <v>0.5</v>
      </c>
      <c r="E15" s="4" t="n">
        <v>0.5</v>
      </c>
      <c r="F15" s="4" t="n">
        <v>1</v>
      </c>
    </row>
    <row r="16">
      <c r="B16" s="4" t="n">
        <v>1600</v>
      </c>
      <c r="C16" s="4" t="n">
        <v>1</v>
      </c>
      <c r="D16" s="4" t="n">
        <v>0.5</v>
      </c>
      <c r="E16" s="4" t="n">
        <v>0.5</v>
      </c>
      <c r="F16" s="4" t="n">
        <v>1</v>
      </c>
    </row>
    <row r="17">
      <c r="B17" s="4" t="n">
        <v>1700</v>
      </c>
      <c r="C17" s="4" t="n">
        <v>1</v>
      </c>
      <c r="D17" s="4" t="n">
        <v>0.5</v>
      </c>
      <c r="E17" s="4" t="n">
        <v>0.5</v>
      </c>
      <c r="F17" s="4" t="n">
        <v>1</v>
      </c>
    </row>
    <row r="18">
      <c r="B18" s="4" t="n">
        <v>1800</v>
      </c>
      <c r="C18" s="4" t="n">
        <v>1</v>
      </c>
      <c r="D18" s="4" t="n">
        <v>0.5</v>
      </c>
      <c r="E18" s="4" t="n">
        <v>0.5</v>
      </c>
      <c r="F18" s="4" t="n">
        <v>1</v>
      </c>
    </row>
  </sheetData>
  <mergeCells count="2">
    <mergeCell ref="A1:J1"/>
    <mergeCell ref="A2:J2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Phase selection</t>
        </is>
      </c>
    </row>
    <row r="2" ht="36" customHeight="1">
      <c r="A2" s="2" t="inlineStr">
        <is>
          <t>The optional entered-phase range makes the selection explicit before the calculation is solved.</t>
        </is>
      </c>
    </row>
    <row r="4">
      <c r="B4" s="6" t="inlineStr">
        <is>
          <t>T, [C]</t>
        </is>
      </c>
      <c r="C4" s="6" t="inlineStr">
        <is>
          <t>P, [bar]</t>
        </is>
      </c>
      <c r="D4" s="6" t="inlineStr">
        <is>
          <t>IA</t>
        </is>
      </c>
      <c r="E4" s="6" t="inlineStr">
        <is>
          <t>IA</t>
        </is>
      </c>
      <c r="F4" s="6" t="inlineStr">
        <is>
          <t>IA</t>
        </is>
      </c>
      <c r="H4" s="6" t="inlineStr">
        <is>
          <t>A</t>
        </is>
      </c>
      <c r="I4" s="6" t="inlineStr">
        <is>
          <t>A</t>
        </is>
      </c>
      <c r="J4" s="6" t="inlineStr">
        <is>
          <t>A</t>
        </is>
      </c>
      <c r="K4" s="6" t="inlineStr">
        <is>
          <t>ERROR</t>
        </is>
      </c>
      <c r="L4" s="6" t="inlineStr">
        <is>
          <t>NSTABLE</t>
        </is>
      </c>
      <c r="N4" s="6" t="inlineStr">
        <is>
          <t>Entered phases</t>
        </is>
      </c>
    </row>
    <row r="5">
      <c r="B5" s="7" t="inlineStr">
        <is>
          <t>""</t>
        </is>
      </c>
      <c r="C5" s="7" t="inlineStr">
        <is>
          <t>""</t>
        </is>
      </c>
      <c r="D5" s="7" t="inlineStr">
        <is>
          <t>""</t>
        </is>
      </c>
      <c r="E5" s="7" t="inlineStr">
        <is>
          <t>""</t>
        </is>
      </c>
      <c r="F5" s="7" t="inlineStr">
        <is>
          <t>""</t>
        </is>
      </c>
      <c r="H5" s="7" t="inlineStr">
        <is>
          <t>Slag-liq</t>
        </is>
      </c>
      <c r="I5" s="7" t="inlineStr">
        <is>
          <t>Monoxide</t>
        </is>
      </c>
      <c r="J5" s="7" t="inlineStr">
        <is>
          <t>Zincite</t>
        </is>
      </c>
      <c r="K5" s="7" t="inlineStr">
        <is>
          <t>""</t>
        </is>
      </c>
      <c r="L5" s="7" t="inlineStr">
        <is>
          <t>""</t>
        </is>
      </c>
      <c r="N5" s="4" t="inlineStr">
        <is>
          <t>Slag-liq</t>
        </is>
      </c>
    </row>
    <row r="6">
      <c r="B6" s="7" t="inlineStr">
        <is>
          <t>""</t>
        </is>
      </c>
      <c r="C6" s="7" t="inlineStr">
        <is>
          <t>""</t>
        </is>
      </c>
      <c r="D6" s="7" t="inlineStr">
        <is>
          <t>Ca</t>
        </is>
      </c>
      <c r="E6" s="7" t="inlineStr">
        <is>
          <t>Zn</t>
        </is>
      </c>
      <c r="F6" s="7" t="inlineStr">
        <is>
          <t>O</t>
        </is>
      </c>
      <c r="H6" s="7" t="inlineStr">
        <is>
          <t>""</t>
        </is>
      </c>
      <c r="I6" s="7" t="inlineStr">
        <is>
          <t>""</t>
        </is>
      </c>
      <c r="J6" s="7" t="inlineStr">
        <is>
          <t>""</t>
        </is>
      </c>
      <c r="K6" s="7" t="inlineStr">
        <is>
          <t>""</t>
        </is>
      </c>
      <c r="L6" s="7" t="inlineStr">
        <is>
          <t>""</t>
        </is>
      </c>
      <c r="N6" s="4" t="inlineStr">
        <is>
          <t>Monoxide</t>
        </is>
      </c>
    </row>
    <row r="7">
      <c r="B7" s="4" t="n">
        <v>1200</v>
      </c>
      <c r="C7" s="4" t="n">
        <v>1</v>
      </c>
      <c r="D7" s="4" t="n">
        <v>0.5</v>
      </c>
      <c r="E7" s="4" t="n">
        <v>0.5</v>
      </c>
      <c r="F7" s="4" t="n">
        <v>1</v>
      </c>
      <c r="H7">
        <f>XLL_CA_CALCULATE(Start!$B$10,$B$4:$F$6,$B$7:$F$7,$H$4:$L$6,$N$5:$N$6)</f>
        <v/>
      </c>
    </row>
    <row r="10">
      <c r="A10" s="9" t="inlineStr">
        <is>
          <t>The entered range is intentionally visible. Change its phase names only when the physical model justifies restricting the phase set.</t>
        </is>
      </c>
    </row>
  </sheetData>
  <mergeCells count="3">
    <mergeCell ref="A1:J1"/>
    <mergeCell ref="A10:N10"/>
    <mergeCell ref="A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Formation-temperature target</t>
        </is>
      </c>
    </row>
    <row r="2" ht="36" customHeight="1">
      <c r="A2" s="2" t="inlineStr">
        <is>
          <t>Solve T for Monoxide formation rather than scanning temperature.</t>
        </is>
      </c>
    </row>
    <row r="4">
      <c r="B4" s="6" t="inlineStr">
        <is>
          <t>P, [bar]</t>
        </is>
      </c>
      <c r="C4" s="6" t="inlineStr">
        <is>
          <t>IA</t>
        </is>
      </c>
      <c r="D4" s="6" t="inlineStr">
        <is>
          <t>IA</t>
        </is>
      </c>
      <c r="E4" s="6" t="inlineStr">
        <is>
          <t>IA</t>
        </is>
      </c>
      <c r="F4" s="6" t="inlineStr">
        <is>
          <t>FORMATION</t>
        </is>
      </c>
      <c r="G4" s="6" t="inlineStr">
        <is>
          <t>TLOW</t>
        </is>
      </c>
      <c r="H4" s="6" t="inlineStr">
        <is>
          <t>THIGH</t>
        </is>
      </c>
      <c r="K4" s="6" t="inlineStr">
        <is>
          <t>T, [C]</t>
        </is>
      </c>
      <c r="L4" s="6" t="inlineStr">
        <is>
          <t>ERROR</t>
        </is>
      </c>
      <c r="M4" s="6" t="inlineStr">
        <is>
          <t>NSTABLE</t>
        </is>
      </c>
      <c r="N4" s="6" t="inlineStr">
        <is>
          <t>AC</t>
        </is>
      </c>
      <c r="P4" s="6" t="inlineStr">
        <is>
          <t>Entered phases</t>
        </is>
      </c>
    </row>
    <row r="5">
      <c r="B5" s="7" t="inlineStr">
        <is>
          <t>""</t>
        </is>
      </c>
      <c r="C5" s="7" t="inlineStr">
        <is>
          <t>""</t>
        </is>
      </c>
      <c r="D5" s="7" t="inlineStr">
        <is>
          <t>""</t>
        </is>
      </c>
      <c r="E5" s="7" t="inlineStr">
        <is>
          <t>""</t>
        </is>
      </c>
      <c r="F5" s="7" t="inlineStr">
        <is>
          <t>""</t>
        </is>
      </c>
      <c r="G5" s="7" t="inlineStr">
        <is>
          <t>""</t>
        </is>
      </c>
      <c r="H5" s="7" t="inlineStr">
        <is>
          <t>""</t>
        </is>
      </c>
      <c r="K5" s="7" t="inlineStr">
        <is>
          <t>""</t>
        </is>
      </c>
      <c r="L5" s="7" t="inlineStr">
        <is>
          <t>""</t>
        </is>
      </c>
      <c r="M5" s="7" t="inlineStr">
        <is>
          <t>""</t>
        </is>
      </c>
      <c r="N5" s="7" t="inlineStr">
        <is>
          <t>Monoxide</t>
        </is>
      </c>
      <c r="P5" s="4" t="inlineStr">
        <is>
          <t>Slag-liq</t>
        </is>
      </c>
    </row>
    <row r="6">
      <c r="B6" s="7" t="inlineStr">
        <is>
          <t>""</t>
        </is>
      </c>
      <c r="C6" s="7" t="inlineStr">
        <is>
          <t>Ca</t>
        </is>
      </c>
      <c r="D6" s="7" t="inlineStr">
        <is>
          <t>Zn</t>
        </is>
      </c>
      <c r="E6" s="7" t="inlineStr">
        <is>
          <t>O</t>
        </is>
      </c>
      <c r="F6" s="7" t="inlineStr">
        <is>
          <t>""</t>
        </is>
      </c>
      <c r="G6" s="7" t="inlineStr">
        <is>
          <t>""</t>
        </is>
      </c>
      <c r="H6" s="7" t="inlineStr">
        <is>
          <t>""</t>
        </is>
      </c>
      <c r="K6" s="7" t="inlineStr">
        <is>
          <t>""</t>
        </is>
      </c>
      <c r="L6" s="7" t="inlineStr">
        <is>
          <t>""</t>
        </is>
      </c>
      <c r="M6" s="7" t="inlineStr">
        <is>
          <t>""</t>
        </is>
      </c>
      <c r="N6" s="7" t="inlineStr">
        <is>
          <t>""</t>
        </is>
      </c>
      <c r="P6" s="4" t="inlineStr">
        <is>
          <t>Monoxide</t>
        </is>
      </c>
    </row>
    <row r="7">
      <c r="B7" s="4" t="n">
        <v>1</v>
      </c>
      <c r="C7" s="4" t="n">
        <v>0.1</v>
      </c>
      <c r="D7" s="4" t="n">
        <v>0.9</v>
      </c>
      <c r="E7" s="4" t="n">
        <v>1</v>
      </c>
      <c r="F7" s="4" t="inlineStr">
        <is>
          <t>Monoxide</t>
        </is>
      </c>
      <c r="G7" s="4" t="n">
        <v>500</v>
      </c>
      <c r="H7" s="4" t="n">
        <v>2200</v>
      </c>
      <c r="K7">
        <f>XLL_CA_CALCULATE(Start!$B$10,$B$4:$H$6,$B$7:$H$11,$K$4:$N$6,$P$5:$P$6)</f>
        <v/>
      </c>
    </row>
    <row r="8">
      <c r="B8" s="4" t="n">
        <v>1</v>
      </c>
      <c r="C8" s="4" t="n">
        <v>0.3</v>
      </c>
      <c r="D8" s="4" t="n">
        <v>0.7</v>
      </c>
      <c r="E8" s="4" t="n">
        <v>1</v>
      </c>
      <c r="F8" s="4" t="inlineStr">
        <is>
          <t>Monoxide</t>
        </is>
      </c>
      <c r="G8" s="4" t="n">
        <v>500</v>
      </c>
      <c r="H8" s="4" t="n">
        <v>2200</v>
      </c>
    </row>
    <row r="9">
      <c r="B9" s="4" t="n">
        <v>1</v>
      </c>
      <c r="C9" s="4" t="n">
        <v>0.5</v>
      </c>
      <c r="D9" s="4" t="n">
        <v>0.5</v>
      </c>
      <c r="E9" s="4" t="n">
        <v>1</v>
      </c>
      <c r="F9" s="4" t="inlineStr">
        <is>
          <t>Monoxide</t>
        </is>
      </c>
      <c r="G9" s="4" t="n">
        <v>500</v>
      </c>
      <c r="H9" s="4" t="n">
        <v>2200</v>
      </c>
    </row>
    <row r="10">
      <c r="B10" s="4" t="n">
        <v>1</v>
      </c>
      <c r="C10" s="4" t="n">
        <v>0.7</v>
      </c>
      <c r="D10" s="4" t="n">
        <v>0.3</v>
      </c>
      <c r="E10" s="4" t="n">
        <v>1</v>
      </c>
      <c r="F10" s="4" t="inlineStr">
        <is>
          <t>Monoxide</t>
        </is>
      </c>
      <c r="G10" s="4" t="n">
        <v>500</v>
      </c>
      <c r="H10" s="4" t="n">
        <v>2200</v>
      </c>
    </row>
    <row r="11">
      <c r="B11" s="4" t="n">
        <v>1</v>
      </c>
      <c r="C11" s="4" t="n">
        <v>0.9</v>
      </c>
      <c r="D11" s="4" t="n">
        <v>0.09999999999999998</v>
      </c>
      <c r="E11" s="4" t="n">
        <v>1</v>
      </c>
      <c r="F11" s="4" t="inlineStr">
        <is>
          <t>Monoxide</t>
        </is>
      </c>
      <c r="G11" s="4" t="n">
        <v>500</v>
      </c>
      <c r="H11" s="4" t="n">
        <v>2200</v>
      </c>
    </row>
    <row r="14">
      <c r="A14" s="9" t="inlineStr">
        <is>
          <t>This teaching target deliberately restricts the entered phases to Slag-liq + Monoxide. Real phase selection must match the physical problem.</t>
        </is>
      </c>
    </row>
  </sheetData>
  <mergeCells count="3">
    <mergeCell ref="A1:J1"/>
    <mergeCell ref="A14:N14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2026-09-23T05:45:01Z</dcterms:created>
  <dcterms:modified xmlns:dcterms="http://purl.org/dc/terms/" xmlns:xsi="http://www.w3.org/2001/XMLSchema-instance" xsi:type="dcterms:W3CDTF">2026-09-23T05:45:01Z</dcterms:modified>
</cp:coreProperties>
</file>