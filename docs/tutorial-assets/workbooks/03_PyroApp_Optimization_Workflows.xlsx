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Synthetic regression" sheetId="2" state="visible" r:id="rId2"/>
    <sheet xmlns:r="http://schemas.openxmlformats.org/officeDocument/2006/relationships" name="Derivative matrix setup" sheetId="3" state="visible" r:id="rId3"/>
    <sheet xmlns:r="http://schemas.openxmlformats.org/officeDocument/2006/relationships" name="Parameters" sheetId="4" state="visible" r:id="rId4"/>
    <sheet xmlns:r="http://schemas.openxmlformats.org/officeDocument/2006/relationships" name="Live targets" sheetId="5" state="visible" r:id="rId5"/>
    <sheet xmlns:r="http://schemas.openxmlformats.org/officeDocument/2006/relationships" name="Live regression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FFFFFF"/>
    </font>
    <font>
      <color rgb="000000FF"/>
    </font>
    <font>
      <color rgb="00008000"/>
      <u val="single"/>
    </font>
    <font>
      <color rgb="007030A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DDEBF7"/>
      </patternFill>
    </fill>
    <fill>
      <patternFill patternType="solid">
        <fgColor rgb="00E4DFEC"/>
      </patternFill>
    </fill>
    <fill>
      <patternFill patternType="solid">
        <fgColor rgb="00F4CCCC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5" fillId="5" borderId="0" pivotButton="0" quotePrefix="0" xfId="0"/>
    <xf numFmtId="0" fontId="0" fillId="0" borderId="0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pivotButton="0" quotePrefix="0" xfId="0"/>
    <xf numFmtId="0" fontId="0" fillId="8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vnekdev.github.io/pyroapp-docs/tutorial-assets/datafiles/examples/Al-Ca-O_var.dat" TargetMode="External" Id="rId1"/><Relationship Type="http://schemas.openxmlformats.org/officeDocument/2006/relationships/hyperlink" Target="https://evnekdev.github.io/pyroapp-docs/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5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PyroApp Example 03 — Optimization Workflows</t>
        </is>
      </c>
    </row>
    <row r="2" ht="36" customHeight="1">
      <c r="A2" s="2" t="inlineStr">
        <is>
          <t>Synthetic regression helpers plus the live derivative-matrix dependency pattern for an open DAT.</t>
        </is>
      </c>
    </row>
    <row r="4">
      <c r="A4" s="3" t="inlineStr">
        <is>
          <t>Before you calculate</t>
        </is>
      </c>
    </row>
    <row r="5">
      <c r="A5" t="inlineStr">
        <is>
          <t>1. Install/load PyroApp in desktop Excel.</t>
        </is>
      </c>
    </row>
    <row r="6">
      <c r="A6" t="inlineStr">
        <is>
          <t>2. Download Al-Ca-O_var.dat and place it beside this workbook.</t>
        </is>
      </c>
    </row>
    <row r="7">
      <c r="A7" t="inlineStr">
        <is>
          <t>3. Blue cells are inputs; black cells are formulas; purple cells are controls.</t>
        </is>
      </c>
    </row>
    <row r="8">
      <c r="A8" t="inlineStr">
        <is>
          <t>4. The workbooks use literal text "" in unused CA_CALCULATE header cells (no leading equals sign).</t>
        </is>
      </c>
    </row>
    <row r="10">
      <c r="A10" t="inlineStr">
        <is>
          <t>Datafile</t>
        </is>
      </c>
      <c r="B10" s="4" t="inlineStr">
        <is>
          <t>Al-Ca-O_var.dat</t>
        </is>
      </c>
    </row>
    <row r="11">
      <c r="A11" t="inlineStr">
        <is>
          <t>Download DAT</t>
        </is>
      </c>
      <c r="B11" s="5" t="inlineStr">
        <is>
          <t>Al-Ca-O_var.dat</t>
        </is>
      </c>
    </row>
    <row r="12">
      <c r="A12" t="inlineStr">
        <is>
          <t>Docs</t>
        </is>
      </c>
      <c r="B12" s="5" t="inlineStr">
        <is>
          <t>PyroApp documentation</t>
        </is>
      </c>
    </row>
    <row r="14">
      <c r="A14" t="inlineStr">
        <is>
          <t>PyroApp status</t>
        </is>
      </c>
      <c r="B14">
        <f>IFERROR(XLL_CA_VERSION(),"PyroApp not loaded")</f>
        <v/>
      </c>
    </row>
  </sheetData>
  <mergeCells count="7">
    <mergeCell ref="A4:H4"/>
    <mergeCell ref="A1:J1"/>
    <mergeCell ref="A7:H7"/>
    <mergeCell ref="A2:J2"/>
    <mergeCell ref="A5:H5"/>
    <mergeCell ref="A8:H8"/>
    <mergeCell ref="A6:H6"/>
  </mergeCells>
  <hyperlinks>
    <hyperlink xmlns:r="http://schemas.openxmlformats.org/officeDocument/2006/relationships" ref="B11" r:id="rId1"/>
    <hyperlink xmlns:r="http://schemas.openxmlformats.org/officeDocument/2006/relationships" ref="B12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1" t="inlineStr">
        <is>
          <t>Synthetic linear-regression example</t>
        </is>
      </c>
    </row>
    <row r="2" ht="36" customHeight="1">
      <c r="A2" s="2" t="inlineStr">
        <is>
          <t>Illustrative numbers isolate the optimization mathematics; they are not experimental thermodynamic data.</t>
        </is>
      </c>
    </row>
    <row r="5">
      <c r="A5" s="6" t="inlineStr">
        <is>
          <t>Category</t>
        </is>
      </c>
      <c r="B5" s="6" t="inlineStr">
        <is>
          <t>Residual</t>
        </is>
      </c>
      <c r="C5" s="6" t="inlineStr">
        <is>
          <t>Weight</t>
        </is>
      </c>
      <c r="D5" s="6" t="inlineStr">
        <is>
          <t>Use?</t>
        </is>
      </c>
      <c r="E5" s="6" t="inlineStr">
        <is>
          <t>dT/dx</t>
        </is>
      </c>
    </row>
    <row r="6">
      <c r="A6" s="4" t="inlineStr">
        <is>
          <t>liquidus</t>
        </is>
      </c>
      <c r="B6" s="4" t="n">
        <v>25</v>
      </c>
      <c r="C6" s="4" t="n">
        <v>1</v>
      </c>
      <c r="D6" s="4" t="b">
        <v>1</v>
      </c>
      <c r="E6" s="4" t="n">
        <v>1</v>
      </c>
    </row>
    <row r="7">
      <c r="A7" s="4" t="inlineStr">
        <is>
          <t>liquidus</t>
        </is>
      </c>
      <c r="B7" s="4" t="n">
        <v>-15</v>
      </c>
      <c r="C7" s="4" t="n">
        <v>1</v>
      </c>
      <c r="D7" s="4" t="b">
        <v>1</v>
      </c>
      <c r="E7" s="4" t="n">
        <v>1</v>
      </c>
    </row>
    <row r="8">
      <c r="A8" s="4" t="inlineStr">
        <is>
          <t>invariant</t>
        </is>
      </c>
      <c r="B8" s="4" t="n">
        <v>8</v>
      </c>
      <c r="C8" s="4" t="n">
        <v>2</v>
      </c>
      <c r="D8" s="4" t="b">
        <v>1</v>
      </c>
      <c r="E8" s="4" t="n">
        <v>1</v>
      </c>
    </row>
    <row r="9">
      <c r="A9" s="4" t="inlineStr">
        <is>
          <t>invariant</t>
        </is>
      </c>
      <c r="B9" s="4" t="n">
        <v>-6</v>
      </c>
      <c r="C9" s="4" t="n">
        <v>2</v>
      </c>
      <c r="D9" s="4" t="b">
        <v>1</v>
      </c>
      <c r="E9" s="4" t="n">
        <v>1</v>
      </c>
    </row>
    <row r="10">
      <c r="A10" s="4" t="inlineStr">
        <is>
          <t>mixing</t>
        </is>
      </c>
      <c r="B10" s="4" t="n">
        <v>120</v>
      </c>
      <c r="C10" s="4" t="n">
        <v>0.05</v>
      </c>
      <c r="D10" s="4" t="b">
        <v>1</v>
      </c>
      <c r="E10" s="4" t="n">
        <v>1</v>
      </c>
    </row>
    <row r="11">
      <c r="A11" s="4" t="inlineStr">
        <is>
          <t>mixing</t>
        </is>
      </c>
      <c r="B11" s="4" t="n">
        <v>-80</v>
      </c>
      <c r="C11" s="4" t="n">
        <v>0.05</v>
      </c>
      <c r="D11" s="4" t="b">
        <v>1</v>
      </c>
      <c r="E11" s="4" t="n">
        <v>1</v>
      </c>
    </row>
    <row r="14">
      <c r="A14" s="3" t="inlineStr">
        <is>
          <t>Derivative matrix A = d(current)/d(parameter)</t>
        </is>
      </c>
    </row>
    <row r="15">
      <c r="B15" s="6" t="inlineStr">
        <is>
          <t>p1</t>
        </is>
      </c>
      <c r="C15" s="6" t="inlineStr">
        <is>
          <t>p2</t>
        </is>
      </c>
      <c r="D15" s="6" t="inlineStr">
        <is>
          <t>p3</t>
        </is>
      </c>
    </row>
    <row r="16">
      <c r="B16" s="4" t="n">
        <v>0.8</v>
      </c>
      <c r="C16" s="4" t="n">
        <v>0.1</v>
      </c>
      <c r="D16" s="4" t="n">
        <v>0</v>
      </c>
    </row>
    <row r="17">
      <c r="B17" s="4" t="n">
        <v>1</v>
      </c>
      <c r="C17" s="4" t="n">
        <v>-0.1</v>
      </c>
      <c r="D17" s="4" t="n">
        <v>0.1</v>
      </c>
    </row>
    <row r="18">
      <c r="B18" s="4" t="n">
        <v>0.2</v>
      </c>
      <c r="C18" s="4" t="n">
        <v>0.6</v>
      </c>
      <c r="D18" s="4" t="n">
        <v>-0.1</v>
      </c>
    </row>
    <row r="19">
      <c r="B19" s="4" t="n">
        <v>0.1</v>
      </c>
      <c r="C19" s="4" t="n">
        <v>0.8</v>
      </c>
      <c r="D19" s="4" t="n">
        <v>0.2</v>
      </c>
    </row>
    <row r="20">
      <c r="B20" s="4" t="n">
        <v>3</v>
      </c>
      <c r="C20" s="4" t="n">
        <v>0.5</v>
      </c>
      <c r="D20" s="4" t="n">
        <v>1.4</v>
      </c>
    </row>
    <row r="21">
      <c r="B21" s="4" t="n">
        <v>-2</v>
      </c>
      <c r="C21" s="4" t="n">
        <v>0.4</v>
      </c>
      <c r="D21" s="4" t="n">
        <v>1</v>
      </c>
    </row>
    <row r="23">
      <c r="B23" t="inlineStr">
        <is>
          <t>Free mask</t>
        </is>
      </c>
      <c r="C23" s="4" t="b">
        <v>1</v>
      </c>
      <c r="D23" s="4" t="b">
        <v>1</v>
      </c>
      <c r="E23" s="4" t="b">
        <v>0</v>
      </c>
    </row>
    <row r="24">
      <c r="B24" t="inlineStr">
        <is>
          <t>Fixed values</t>
        </is>
      </c>
      <c r="C24" s="4" t="n">
        <v>0</v>
      </c>
      <c r="D24" s="4" t="n">
        <v>0</v>
      </c>
      <c r="E24" s="4" t="n">
        <v>0</v>
      </c>
    </row>
    <row r="26">
      <c r="B26" t="inlineStr">
        <is>
          <t>Proposed Δp</t>
        </is>
      </c>
      <c r="C26">
        <f>XLL_LINEAR_REGRESSION($B$16:$D$21,$B$6:$B$11,$C$6:$C$11,$C$23:$E$23,$C$24:$E$24)</f>
        <v/>
      </c>
    </row>
    <row r="28">
      <c r="B28" t="inlineStr">
        <is>
          <t>Best 2-parameter mask</t>
        </is>
      </c>
      <c r="C28">
        <f>XLL_BEST_COMBINATION($B$16:$D$21,$B$6:$B$11,$C$6:$C$11,$C$23:$E$23,$C$24:$E$24,2)</f>
        <v/>
      </c>
    </row>
    <row r="33">
      <c r="A33">
        <f>B6-SUMPRODUCT(B16:D16,$C$26:$E$26)</f>
        <v/>
      </c>
      <c r="C33">
        <f>XLL_PD_ERROR_TABLE($A$6:$A$11,$B$6:$B$11,$A$33:$A$38,$D$6:$D$11,$E$6:$E$11)</f>
        <v/>
      </c>
    </row>
    <row r="34">
      <c r="A34">
        <f>B7-SUMPRODUCT(B17:D17,$C$26:$E$26)</f>
        <v/>
      </c>
    </row>
    <row r="35">
      <c r="A35">
        <f>B8-SUMPRODUCT(B18:D18,$C$26:$E$26)</f>
        <v/>
      </c>
    </row>
    <row r="36">
      <c r="A36">
        <f>B9-SUMPRODUCT(B19:D19,$C$26:$E$26)</f>
        <v/>
      </c>
    </row>
    <row r="37">
      <c r="A37">
        <f>B10-SUMPRODUCT(B20:D20,$C$26:$E$26)</f>
        <v/>
      </c>
    </row>
    <row r="38">
      <c r="A38">
        <f>B11-SUMPRODUCT(B21:D21,$C$26:$E$26)</f>
        <v/>
      </c>
    </row>
    <row r="41">
      <c r="A41" s="7" t="inlineStr">
        <is>
          <t>Convention: residual = target - current; A = d(current)/d(parameter); solve A Δp ≈ residual. Recalculate the real nonlinear model after applying a step.</t>
        </is>
      </c>
    </row>
  </sheetData>
  <mergeCells count="4">
    <mergeCell ref="A14:F14"/>
    <mergeCell ref="A1:J1"/>
    <mergeCell ref="A41:J4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t="inlineStr">
        <is>
          <t>Parameter range</t>
        </is>
      </c>
      <c r="B1" s="8" t="inlineStr">
        <is>
          <t>Parameters!$B$8:$B$9</t>
        </is>
      </c>
      <c r="D1" s="6" t="inlineStr">
        <is>
          <t>Live derivative-matrix setup</t>
        </is>
      </c>
    </row>
    <row r="2">
      <c r="A2" t="inlineStr">
        <is>
          <t>Residual/output range</t>
        </is>
      </c>
      <c r="B2" s="8" t="inlineStr">
        <is>
          <t>Live targets!$J$8:$J$12</t>
        </is>
      </c>
      <c r="D2" s="9" t="inlineStr">
        <is>
          <t>Run PyroApp → Calculation → Calculate derivative matrix while this sheet is active. B1:B6 are reserved for the command.</t>
        </is>
      </c>
    </row>
    <row r="3">
      <c r="A3" t="inlineStr">
        <is>
          <t>Trigger cell</t>
        </is>
      </c>
      <c r="B3" s="8" t="inlineStr">
        <is>
          <t>Parameters!$B$12</t>
        </is>
      </c>
    </row>
    <row r="4">
      <c r="A4" t="inlineStr">
        <is>
          <t>Derivative output top-left</t>
        </is>
      </c>
      <c r="B4" s="8" t="inlineStr">
        <is>
          <t>$D$8</t>
        </is>
      </c>
    </row>
    <row r="5">
      <c r="A5" t="inlineStr">
        <is>
          <t>Step(s)</t>
        </is>
      </c>
      <c r="B5" s="8" t="inlineStr">
        <is>
          <t>Parameters!$B$10:$B$11</t>
        </is>
      </c>
    </row>
    <row r="6">
      <c r="A6" t="inlineStr">
        <is>
          <t>Parameter mask</t>
        </is>
      </c>
      <c r="B6" s="8" t="inlineStr">
        <is>
          <t>Parameters!$B$13:$B$14</t>
        </is>
      </c>
    </row>
    <row r="7">
      <c r="C7" s="6" t="inlineStr">
        <is>
          <t>Target</t>
        </is>
      </c>
      <c r="D7" s="6" t="inlineStr">
        <is>
          <t>Parameter 1</t>
        </is>
      </c>
      <c r="E7" s="6" t="inlineStr">
        <is>
          <t>Parameter 2</t>
        </is>
      </c>
    </row>
    <row r="8">
      <c r="C8" t="inlineStr">
        <is>
          <t>Target 1</t>
        </is>
      </c>
    </row>
    <row r="9">
      <c r="C9" t="inlineStr">
        <is>
          <t>Target 2</t>
        </is>
      </c>
    </row>
    <row r="10">
      <c r="C10" t="inlineStr">
        <is>
          <t>Target 3</t>
        </is>
      </c>
    </row>
    <row r="11">
      <c r="C11" t="inlineStr">
        <is>
          <t>Target 4</t>
        </is>
      </c>
    </row>
    <row r="12">
      <c r="C12" t="inlineStr">
        <is>
          <t>Target 5</t>
        </is>
      </c>
    </row>
    <row r="15">
      <c r="A15" s="7" t="inlineStr">
        <is>
          <t>PyroApp perturbs numeric parameter cells, changes the trigger, waits for dependent SET/calculation formulas, writes derivative columns, then restores the original parameter vector.</t>
        </is>
      </c>
    </row>
  </sheetData>
  <mergeCells count="3">
    <mergeCell ref="D1:J1"/>
    <mergeCell ref="D2:J3"/>
    <mergeCell ref="A15:J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1" t="inlineStr">
        <is>
          <t>Optimization parameter block</t>
        </is>
      </c>
    </row>
    <row r="2" ht="36" customHeight="1">
      <c r="A2" s="2" t="inlineStr">
        <is>
          <t>The starting numbers are the first Slag-liq ordinary G interaction terms in the supplied working DAT.</t>
        </is>
      </c>
    </row>
    <row r="4">
      <c r="A4" t="inlineStr">
        <is>
          <t>Phase</t>
        </is>
      </c>
      <c r="B4" s="4" t="inlineStr">
        <is>
          <t>Slag-liq</t>
        </is>
      </c>
    </row>
    <row r="5">
      <c r="A5" t="inlineStr">
        <is>
          <t>Interaction identity</t>
        </is>
      </c>
      <c r="B5">
        <f>XLL_CA_LIST_INTERACTIONS_G(Start!$B$10,$B$4)</f>
        <v/>
      </c>
    </row>
    <row r="8">
      <c r="A8" t="inlineStr">
        <is>
          <t>Parameter 1 constant</t>
        </is>
      </c>
      <c r="B8" s="4" t="n">
        <v>-119160.32</v>
      </c>
    </row>
    <row r="9">
      <c r="A9" t="inlineStr">
        <is>
          <t>Parameter 2 T</t>
        </is>
      </c>
      <c r="B9" s="4" t="n">
        <v>21.67312</v>
      </c>
    </row>
    <row r="10">
      <c r="A10" t="inlineStr">
        <is>
          <t>Step p1</t>
        </is>
      </c>
      <c r="B10" s="4" t="n">
        <v>100</v>
      </c>
    </row>
    <row r="11">
      <c r="A11" t="inlineStr">
        <is>
          <t>Step p2</t>
        </is>
      </c>
      <c r="B11" s="4" t="n">
        <v>0.1</v>
      </c>
    </row>
    <row r="12">
      <c r="A12" t="inlineStr">
        <is>
          <t>Trigger</t>
        </is>
      </c>
      <c r="B12" s="8" t="n">
        <v>0</v>
      </c>
    </row>
    <row r="13">
      <c r="A13" t="inlineStr">
        <is>
          <t>Use p1?</t>
        </is>
      </c>
      <c r="B13" s="8" t="b">
        <v>1</v>
      </c>
    </row>
    <row r="14">
      <c r="A14" t="inlineStr">
        <is>
          <t>Use p2?</t>
        </is>
      </c>
      <c r="B14" s="8" t="b">
        <v>1</v>
      </c>
    </row>
    <row r="18">
      <c r="A18" t="inlineStr">
        <is>
          <t>Write p1</t>
        </is>
      </c>
      <c r="B18">
        <f>XLL_CA_SET_INTERACTION_PARAMETERS_G(Start!$B$10,$B$4,$B$5,1,$B$8,$B$12)</f>
        <v/>
      </c>
    </row>
    <row r="19">
      <c r="A19" t="inlineStr">
        <is>
          <t>Write p2</t>
        </is>
      </c>
      <c r="B19">
        <f>XLL_CA_SET_INTERACTION_PARAMETERS_G(Start!$B$10,$B$4,$B$5,2,$B$9,$B$12)</f>
        <v/>
      </c>
    </row>
    <row r="21">
      <c r="A21" t="inlineStr">
        <is>
          <t>Calculation token</t>
        </is>
      </c>
      <c r="B21">
        <f>IF(AND(B18&lt;&gt;"",B19&lt;&gt;""),B12,B12)</f>
        <v/>
      </c>
    </row>
    <row r="23">
      <c r="A23" s="10" t="inlineStr">
        <is>
          <t>These SET formulas modify the working DAT. Keep an untouched baseline copy.</t>
        </is>
      </c>
    </row>
  </sheetData>
  <mergeCells count="3">
    <mergeCell ref="A1:J1"/>
    <mergeCell ref="A23:F23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1" t="inlineStr">
        <is>
          <t>Live thermodynamic target template</t>
        </is>
      </c>
    </row>
    <row r="2" ht="36" customHeight="1">
      <c r="A2" s="2" t="inlineStr">
        <is>
          <t>Slag-liq is forced as the entered phase. Blue target G values are illustrative and must be replaced by real targets for research use.</t>
        </is>
      </c>
    </row>
    <row r="4">
      <c r="B4" s="6" t="inlineStr">
        <is>
          <t>T, [C]</t>
        </is>
      </c>
      <c r="C4" s="6" t="inlineStr">
        <is>
          <t>P, [bar]</t>
        </is>
      </c>
      <c r="D4" s="6" t="inlineStr">
        <is>
          <t>IA</t>
        </is>
      </c>
      <c r="E4" s="6" t="inlineStr">
        <is>
          <t>IA</t>
        </is>
      </c>
      <c r="F4" s="6" t="inlineStr">
        <is>
          <t>IA</t>
        </is>
      </c>
      <c r="H4" s="6" t="inlineStr">
        <is>
          <t>G</t>
        </is>
      </c>
      <c r="I4" s="6" t="inlineStr">
        <is>
          <t>ERROR</t>
        </is>
      </c>
      <c r="J4" s="6" t="inlineStr">
        <is>
          <t>Residual</t>
        </is>
      </c>
      <c r="K4" s="6" t="inlineStr">
        <is>
          <t>Target G (illustrative)</t>
        </is>
      </c>
      <c r="M4" s="6" t="inlineStr">
        <is>
          <t>Entered phases</t>
        </is>
      </c>
    </row>
    <row r="5">
      <c r="B5" s="11" t="inlineStr">
        <is>
          <t>""</t>
        </is>
      </c>
      <c r="C5" s="11" t="inlineStr">
        <is>
          <t>""</t>
        </is>
      </c>
      <c r="D5" s="11" t="inlineStr">
        <is>
          <t>""</t>
        </is>
      </c>
      <c r="E5" s="11" t="inlineStr">
        <is>
          <t>""</t>
        </is>
      </c>
      <c r="F5" s="11" t="inlineStr">
        <is>
          <t>""</t>
        </is>
      </c>
      <c r="H5" s="11" t="inlineStr">
        <is>
          <t>Slag-liq</t>
        </is>
      </c>
      <c r="I5" s="11" t="inlineStr">
        <is>
          <t>""</t>
        </is>
      </c>
      <c r="M5" s="4" t="inlineStr">
        <is>
          <t>Slag-liq</t>
        </is>
      </c>
    </row>
    <row r="6">
      <c r="B6" s="11" t="inlineStr">
        <is>
          <t>""</t>
        </is>
      </c>
      <c r="C6" s="11" t="inlineStr">
        <is>
          <t>""</t>
        </is>
      </c>
      <c r="D6" s="11" t="inlineStr">
        <is>
          <t>Ca</t>
        </is>
      </c>
      <c r="E6" s="11" t="inlineStr">
        <is>
          <t>Al</t>
        </is>
      </c>
      <c r="F6" s="11" t="inlineStr">
        <is>
          <t>O</t>
        </is>
      </c>
      <c r="H6" s="11" t="inlineStr">
        <is>
          <t>""</t>
        </is>
      </c>
      <c r="I6" s="11" t="inlineStr">
        <is>
          <t>""</t>
        </is>
      </c>
    </row>
    <row r="8">
      <c r="B8" s="4" t="n">
        <v>1400</v>
      </c>
      <c r="C8" s="4" t="n">
        <v>1</v>
      </c>
      <c r="D8" s="4" t="n">
        <v>0.8</v>
      </c>
      <c r="E8" s="4" t="n">
        <v>0.4</v>
      </c>
      <c r="F8" s="4" t="n">
        <v>2</v>
      </c>
      <c r="H8">
        <f>XLL_CA_CALCULATE(Start!$B$10,$B$4:$F$6,$B$8:$F$12,$H$4:$I$6,$M$5:$M$5,Parameters!$B$21)</f>
        <v/>
      </c>
      <c r="J8">
        <f>IF(I8=0,K8-H8,0)</f>
        <v/>
      </c>
      <c r="K8" s="4" t="n">
        <v>-800000</v>
      </c>
    </row>
    <row r="9">
      <c r="B9" s="4" t="n">
        <v>1450</v>
      </c>
      <c r="C9" s="4" t="n">
        <v>1</v>
      </c>
      <c r="D9" s="4" t="n">
        <v>0.6</v>
      </c>
      <c r="E9" s="4" t="n">
        <v>0.8</v>
      </c>
      <c r="F9" s="4" t="n">
        <v>2.4</v>
      </c>
      <c r="J9">
        <f>IF(I9=0,K9-H9,0)</f>
        <v/>
      </c>
      <c r="K9" s="4" t="n">
        <v>-850000</v>
      </c>
    </row>
    <row r="10">
      <c r="B10" s="4" t="n">
        <v>1500</v>
      </c>
      <c r="C10" s="4" t="n">
        <v>1</v>
      </c>
      <c r="D10" s="4" t="n">
        <v>0.4</v>
      </c>
      <c r="E10" s="4" t="n">
        <v>1.2</v>
      </c>
      <c r="F10" s="4" t="n">
        <v>2.8</v>
      </c>
      <c r="J10">
        <f>IF(I10=0,K10-H10,0)</f>
        <v/>
      </c>
      <c r="K10" s="4" t="n">
        <v>-900000</v>
      </c>
    </row>
    <row r="11">
      <c r="B11" s="4" t="n">
        <v>1550</v>
      </c>
      <c r="C11" s="4" t="n">
        <v>1</v>
      </c>
      <c r="D11" s="4" t="n">
        <v>0.2</v>
      </c>
      <c r="E11" s="4" t="n">
        <v>1.6</v>
      </c>
      <c r="F11" s="4" t="n">
        <v>3.2</v>
      </c>
      <c r="J11">
        <f>IF(I11=0,K11-H11,0)</f>
        <v/>
      </c>
      <c r="K11" s="4" t="n">
        <v>-950000</v>
      </c>
    </row>
    <row r="12">
      <c r="B12" s="4" t="n">
        <v>1600</v>
      </c>
      <c r="C12" s="4" t="n">
        <v>1</v>
      </c>
      <c r="D12" s="4" t="n">
        <v>1</v>
      </c>
      <c r="E12" s="4" t="n">
        <v>0.2</v>
      </c>
      <c r="F12" s="4" t="n">
        <v>1.3</v>
      </c>
      <c r="J12">
        <f>IF(I12=0,K12-H12,0)</f>
        <v/>
      </c>
      <c r="K12" s="4" t="n">
        <v>-700000</v>
      </c>
    </row>
    <row r="15">
      <c r="A15" s="12" t="inlineStr">
        <is>
          <t>The target numbers are illustrative; the sheet teaches the live derivative dependency, not a Ca-Al-O assessment.</t>
        </is>
      </c>
    </row>
  </sheetData>
  <mergeCells count="3">
    <mergeCell ref="A1:J1"/>
    <mergeCell ref="A15:L15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1" t="inlineStr">
        <is>
          <t>Use the live derivative matrix</t>
        </is>
      </c>
    </row>
    <row r="4">
      <c r="A4" s="6" t="inlineStr">
        <is>
          <t>Weight</t>
        </is>
      </c>
      <c r="B4" s="6" t="inlineStr">
        <is>
          <t>Residual</t>
        </is>
      </c>
      <c r="C4" s="6" t="inlineStr">
        <is>
          <t>d/dp1</t>
        </is>
      </c>
      <c r="D4" s="6" t="inlineStr">
        <is>
          <t>d/dp2</t>
        </is>
      </c>
    </row>
    <row r="5">
      <c r="A5" s="4" t="n">
        <v>1</v>
      </c>
      <c r="B5">
        <f>'Live targets'!J8</f>
        <v/>
      </c>
      <c r="C5">
        <f>'Derivative matrix setup'!D8</f>
        <v/>
      </c>
      <c r="D5">
        <f>'Derivative matrix setup'!E8</f>
        <v/>
      </c>
    </row>
    <row r="6">
      <c r="A6" s="4" t="n">
        <v>1</v>
      </c>
      <c r="B6">
        <f>'Live targets'!J9</f>
        <v/>
      </c>
      <c r="C6">
        <f>'Derivative matrix setup'!D9</f>
        <v/>
      </c>
      <c r="D6">
        <f>'Derivative matrix setup'!E9</f>
        <v/>
      </c>
    </row>
    <row r="7">
      <c r="A7" s="4" t="n">
        <v>1</v>
      </c>
      <c r="B7">
        <f>'Live targets'!J10</f>
        <v/>
      </c>
      <c r="C7">
        <f>'Derivative matrix setup'!D10</f>
        <v/>
      </c>
      <c r="D7">
        <f>'Derivative matrix setup'!E10</f>
        <v/>
      </c>
    </row>
    <row r="8">
      <c r="A8" s="4" t="n">
        <v>1</v>
      </c>
      <c r="B8">
        <f>'Live targets'!J11</f>
        <v/>
      </c>
      <c r="C8">
        <f>'Derivative matrix setup'!D11</f>
        <v/>
      </c>
      <c r="D8">
        <f>'Derivative matrix setup'!E11</f>
        <v/>
      </c>
    </row>
    <row r="9">
      <c r="A9" s="4" t="n">
        <v>1</v>
      </c>
      <c r="B9">
        <f>'Live targets'!J12</f>
        <v/>
      </c>
      <c r="C9">
        <f>'Derivative matrix setup'!D12</f>
        <v/>
      </c>
      <c r="D9">
        <f>'Derivative matrix setup'!E12</f>
        <v/>
      </c>
    </row>
    <row r="12">
      <c r="A12" t="inlineStr">
        <is>
          <t>Free mask</t>
        </is>
      </c>
      <c r="B12" s="4" t="b">
        <v>1</v>
      </c>
      <c r="C12" s="4" t="b">
        <v>1</v>
      </c>
    </row>
    <row r="13">
      <c r="A13" t="inlineStr">
        <is>
          <t>Fixed values</t>
        </is>
      </c>
      <c r="B13" s="4" t="n">
        <v>0</v>
      </c>
      <c r="C13" s="4" t="n">
        <v>0</v>
      </c>
    </row>
    <row r="15">
      <c r="A15" t="inlineStr">
        <is>
          <t>Proposed Δp</t>
        </is>
      </c>
      <c r="B15">
        <f>XLL_LINEAR_REGRESSION($C$5:$D$9,$B$5:$B$9,$A$5:$A$9,$B$12:$C$12,$B$13:$C$13)</f>
        <v/>
      </c>
    </row>
    <row r="17">
      <c r="A17" t="inlineStr">
        <is>
          <t>Best 1 parameter</t>
        </is>
      </c>
      <c r="B17">
        <f>XLL_BEST_COMBINATION($C$5:$D$9,$B$5:$B$9,$A$5:$A$9,$B$12:$C$12,$B$13:$C$13,1)</f>
        <v/>
      </c>
    </row>
    <row r="20">
      <c r="A20" t="inlineStr">
        <is>
          <t>Suggested p1</t>
        </is>
      </c>
      <c r="B20">
        <f>Parameters!B8+B15</f>
        <v/>
      </c>
    </row>
    <row r="21">
      <c r="A21" t="inlineStr">
        <is>
          <t>Suggested p2</t>
        </is>
      </c>
      <c r="B21">
        <f>Parameters!B9+C15</f>
        <v/>
      </c>
    </row>
    <row r="24">
      <c r="A24" s="7" t="inlineStr">
        <is>
          <t>Inspect and damp the proposed step before deliberately copying accepted values into Parameters. Do not create an automatic circular optimizer.</t>
        </is>
      </c>
    </row>
  </sheetData>
  <mergeCells count="2">
    <mergeCell ref="A1:J1"/>
    <mergeCell ref="A24:H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2026-09-23T05:45:01Z</dcterms:created>
  <dcterms:modified xmlns:dcterms="http://purl.org/dc/terms/" xmlns:xsi="http://www.w3.org/2001/XMLSchema-instance" xsi:type="dcterms:W3CDTF">2026-09-23T05:45:01Z</dcterms:modified>
</cp:coreProperties>
</file>