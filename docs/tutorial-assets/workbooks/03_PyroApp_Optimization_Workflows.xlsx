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WORK\Code\Rust\pyroapp-docs\docs\tutorial-assets\workbooks\"/>
    </mc:Choice>
  </mc:AlternateContent>
  <xr:revisionPtr revIDLastSave="0" documentId="13_ncr:1_{DFF17D71-302A-475D-8879-451AE0F23CAD}" xr6:coauthVersionLast="47" xr6:coauthVersionMax="47" xr10:uidLastSave="{00000000-0000-0000-0000-000000000000}"/>
  <bookViews>
    <workbookView xWindow="-51720" yWindow="-120" windowWidth="51840" windowHeight="21120" xr2:uid="{00000000-000D-0000-FFFF-FFFF00000000}"/>
  </bookViews>
  <sheets>
    <sheet name="Start" sheetId="1" r:id="rId1"/>
    <sheet name="Synthetic regression" sheetId="2" r:id="rId2"/>
    <sheet name="Derivative matrix setup" sheetId="3" r:id="rId3"/>
    <sheet name="Parameters" sheetId="4" r:id="rId4"/>
    <sheet name="Live targets" sheetId="5" r:id="rId5"/>
    <sheet name="Live regression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5" l="1" a="1"/>
  <c r="B5" i="4" a="1"/>
  <c r="C28" i="2" a="1"/>
  <c r="C26" i="2" a="1"/>
  <c r="D9" i="6"/>
  <c r="C9" i="6"/>
  <c r="D8" i="6"/>
  <c r="C8" i="6"/>
  <c r="D7" i="6"/>
  <c r="C7" i="6"/>
  <c r="D6" i="6"/>
  <c r="C6" i="6"/>
  <c r="D5" i="6"/>
  <c r="C5" i="6"/>
  <c r="B23" i="4"/>
  <c r="B21" i="4"/>
  <c r="B20" i="4"/>
  <c r="B14" i="1"/>
  <c r="J12" i="5" l="1"/>
  <c r="B9" i="6" s="1"/>
  <c r="J8" i="5"/>
  <c r="B5" i="6" s="1"/>
  <c r="J11" i="5"/>
  <c r="B8" i="6" s="1"/>
  <c r="J10" i="5"/>
  <c r="B7" i="6" s="1"/>
  <c r="J9" i="5"/>
  <c r="B6" i="6" s="1"/>
  <c r="B17" i="4" a="1"/>
  <c r="B18" i="4" a="1"/>
  <c r="A37" i="2"/>
  <c r="A36" i="2"/>
  <c r="A33" i="2"/>
  <c r="C33" i="2" s="1" a="1"/>
  <c r="A35" i="2"/>
  <c r="A38" i="2"/>
  <c r="A34" i="2"/>
  <c r="B15" i="6" l="1" a="1"/>
  <c r="B17" i="6" a="1"/>
  <c r="B21" i="6" l="1"/>
  <c r="B2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<sst xmlns="http://schemas.openxmlformats.org/spreadsheetml/2006/main" count="125" uniqueCount="103">
  <si>
    <t>PyroApp Example 03 — Optimization Workflows (Ca-Zn-O)</t>
  </si>
  <si>
    <t>Synthetic regression helpers plus a deliberately gated live Ca-Zn-O derivative-matrix workflow.</t>
  </si>
  <si>
    <t>Before you calculate</t>
  </si>
  <si>
    <t>1. Install/load PyroApp in desktop Excel.</t>
  </si>
  <si>
    <t>2. Download Ca-Zn-O_optimization_working.dat and place it beside this workbook.</t>
  </si>
  <si>
    <t>3. Blue cells are inputs; black cells are formulas; purple cells are controls.</t>
  </si>
  <si>
    <t>4. The workbooks use literal text "" in unused CA_CALCULATE header cells (no leading equals sign).</t>
  </si>
  <si>
    <t>Datafile</t>
  </si>
  <si>
    <t>Ca-Zn-O_optimization_working.dat</t>
  </si>
  <si>
    <t>Download DAT</t>
  </si>
  <si>
    <t>Docs</t>
  </si>
  <si>
    <t>PyroApp documentation</t>
  </si>
  <si>
    <t>PyroApp status</t>
  </si>
  <si>
    <t>Baseline DAT</t>
  </si>
  <si>
    <t>Ca-Zn-O.dat</t>
  </si>
  <si>
    <t>Write safety</t>
  </si>
  <si>
    <t>The live sheets use only the separately named working DAT. Enable DAT writes remains FALSE in the saved workbook.</t>
  </si>
  <si>
    <t>Synthetic linear-regression example</t>
  </si>
  <si>
    <t>Illustrative numbers isolate the optimization mathematics; they are not experimental thermodynamic data.</t>
  </si>
  <si>
    <t>Category</t>
  </si>
  <si>
    <t>Residual</t>
  </si>
  <si>
    <t>Weight</t>
  </si>
  <si>
    <t>Use?</t>
  </si>
  <si>
    <t>dT/dx</t>
  </si>
  <si>
    <t>liquidus</t>
  </si>
  <si>
    <t>invariant</t>
  </si>
  <si>
    <t>mixing</t>
  </si>
  <si>
    <t>Derivative matrix A = d(current)/d(parameter)</t>
  </si>
  <si>
    <t>p1</t>
  </si>
  <si>
    <t>p2</t>
  </si>
  <si>
    <t>p3</t>
  </si>
  <si>
    <t>Free mask</t>
  </si>
  <si>
    <t>Fixed values</t>
  </si>
  <si>
    <t>Proposed Δp</t>
  </si>
  <si>
    <t>Best 2-parameter mask</t>
  </si>
  <si>
    <t>Convention: residual = target - current; A = d(current)/d(parameter); solve A Δp ≈ residual. Recalculate the nonlinear model after a user-reviewed, damped step.</t>
  </si>
  <si>
    <t>Parameter range</t>
  </si>
  <si>
    <t>Parameters!$B$8:$B$9</t>
  </si>
  <si>
    <t>Live derivative-matrix setup</t>
  </si>
  <si>
    <t>Residual/output range</t>
  </si>
  <si>
    <t>Live targets!$J$8:$J$12</t>
  </si>
  <si>
    <t>Run PyroApp → Calculation → Calculate derivative matrix while this sheet is active. B1:B6 are reserved for the command. Set Enable DAT writes to TRUE only after confirming the disposable working DAT.</t>
  </si>
  <si>
    <t>Trigger cell</t>
  </si>
  <si>
    <t>Parameters!$B$12</t>
  </si>
  <si>
    <t>Derivative output top-left</t>
  </si>
  <si>
    <t>$D$8</t>
  </si>
  <si>
    <t>Step(s)</t>
  </si>
  <si>
    <t>Parameters!$B$10:$B$11</t>
  </si>
  <si>
    <t>Parameter mask</t>
  </si>
  <si>
    <t>Parameters!$B$13:$B$14</t>
  </si>
  <si>
    <t>Target</t>
  </si>
  <si>
    <t>Parameter 1</t>
  </si>
  <si>
    <t>Parameter 2</t>
  </si>
  <si>
    <t>Target 1</t>
  </si>
  <si>
    <t>Target 2</t>
  </si>
  <si>
    <t>Target 3</t>
  </si>
  <si>
    <t>Target 4</t>
  </si>
  <si>
    <t>Target 5</t>
  </si>
  <si>
    <t>The command perturbs numeric parameter cells, changes the trigger once per state, waits for gated SET/calculation dependencies, writes derivative columns, then restores the original parameter vector. With Enable DAT writes = FALSE, it cannot alter the DAT.</t>
  </si>
  <si>
    <t>Ca-Zn-O working-DAT parameter block</t>
  </si>
  <si>
    <t>The interaction identity and initial values below come from the current Ca-Zn-O working DAT through the installed XLL.</t>
  </si>
  <si>
    <t>Phase</t>
  </si>
  <si>
    <t>Slag-liq</t>
  </si>
  <si>
    <t>Coefficient order</t>
  </si>
  <si>
    <t>Interaction identity (first listed)</t>
  </si>
  <si>
    <t>constant, T, T ln(T), T², T³, 1/T</t>
  </si>
  <si>
    <t>Parameter 1 constant</t>
  </si>
  <si>
    <t>Parameter 2 T</t>
  </si>
  <si>
    <t>Step p1</t>
  </si>
  <si>
    <t>Step p2</t>
  </si>
  <si>
    <t>Trigger</t>
  </si>
  <si>
    <t>Use p1?</t>
  </si>
  <si>
    <t>Use p2?</t>
  </si>
  <si>
    <t>Enable DAT writes</t>
  </si>
  <si>
    <t>Current p1 (DAT read)</t>
  </si>
  <si>
    <t>Current p2 (DAT read)</t>
  </si>
  <si>
    <t>Write p1</t>
  </si>
  <si>
    <t>Write p2</t>
  </si>
  <si>
    <t>Calculation token</t>
  </si>
  <si>
    <t>Opening or recalculating the workbook does not call SET because Enable DAT writes is FALSE. For a deliberate derivative run, first use a fresh copy of Ca-Zn-O_optimization_working.dat, enable writes, run the Ribbon command, then set the gate back to FALSE.</t>
  </si>
  <si>
    <t>Live thermodynamic target template</t>
  </si>
  <si>
    <t>Slag-liq is the entered phase. Blue target G values are illustrative and must be replaced by real measurements for research use.</t>
  </si>
  <si>
    <t>T, [C]</t>
  </si>
  <si>
    <t>P, [bar]</t>
  </si>
  <si>
    <t>IA</t>
  </si>
  <si>
    <t>G</t>
  </si>
  <si>
    <t>ERROR</t>
  </si>
  <si>
    <t>Residual = target - current</t>
  </si>
  <si>
    <t>Target G (illustrative)</t>
  </si>
  <si>
    <t>Entered phases</t>
  </si>
  <si>
    <t>""</t>
  </si>
  <si>
    <t>Ca</t>
  </si>
  <si>
    <t>Zn</t>
  </si>
  <si>
    <t>O</t>
  </si>
  <si>
    <t>The residual sign is explicit: target minus current. ERROR = 0 permits a residual; any other status returns NA so a failed solve is not silently treated as zero.</t>
  </si>
  <si>
    <t>Review the live derivative matrix</t>
  </si>
  <si>
    <t>d/dp1</t>
  </si>
  <si>
    <t>d/dp2</t>
  </si>
  <si>
    <t>Best 1 parameter</t>
  </si>
  <si>
    <t>Damping α</t>
  </si>
  <si>
    <t>Suggested p1 = current + αΔp</t>
  </si>
  <si>
    <t>Suggested p2 = current + αΔp</t>
  </si>
  <si>
    <t>Review and damp the proposed step before deliberately copying accepted values into Parameters. This workbook has no automatic circular optimizer and never changes parameter cells from its regression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</si>
</sst>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u/>
      <sz val="11"/>
      <color rgb="FF008000"/>
      <name val="Calibri"/>
    </font>
    <font>
      <sz val="11"/>
      <color rgb="FF7030A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5" fillId="5" borderId="1" xfId="0" applyFont="1" applyFill="1" applyBorder="1"/>
    <xf numFmtId="0" fontId="0" fillId="7" borderId="1" xfId="0" applyFill="1" applyBorder="1"/>
    <xf numFmtId="0" fontId="2" fillId="2" borderId="1" xfId="0" applyFont="1" applyFill="1" applyBorder="1"/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vnekdev.github.io/pyroapp-docs/" TargetMode="External"/><Relationship Id="rId1" Type="http://schemas.openxmlformats.org/officeDocument/2006/relationships/hyperlink" Target="https://evnekdev.github.io/pyroapp-docs/tutorial-assets/datafiles/examples/Ca-Zn-O_optimization_working.d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sqref="A1:J1"/>
    </sheetView>
  </sheetViews>
  <sheetFormatPr defaultRowHeight="14.5" x14ac:dyDescent="0.35"/>
  <cols>
    <col min="1" max="1" width="13.7265625" bestFit="1" customWidth="1"/>
    <col min="2" max="2" width="102.90625" bestFit="1" customWidth="1"/>
    <col min="3" max="10" width="18" customWidth="1"/>
  </cols>
  <sheetData>
    <row r="1" spans="1:10" ht="23.5" customHeight="1" x14ac:dyDescent="0.55000000000000004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42" customHeight="1" x14ac:dyDescent="0.35">
      <c r="A2" s="11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35">
      <c r="A4" s="7" t="s">
        <v>2</v>
      </c>
      <c r="B4" s="8"/>
      <c r="C4" s="8"/>
      <c r="D4" s="8"/>
      <c r="E4" s="8"/>
      <c r="F4" s="8"/>
      <c r="G4" s="8"/>
      <c r="H4" s="8"/>
    </row>
    <row r="5" spans="1:10" x14ac:dyDescent="0.35">
      <c r="A5" s="10" t="s">
        <v>3</v>
      </c>
      <c r="B5" s="8"/>
      <c r="C5" s="8"/>
      <c r="D5" s="8"/>
      <c r="E5" s="8"/>
      <c r="F5" s="8"/>
      <c r="G5" s="8"/>
      <c r="H5" s="8"/>
    </row>
    <row r="6" spans="1:10" x14ac:dyDescent="0.35">
      <c r="A6" s="10" t="s">
        <v>4</v>
      </c>
      <c r="B6" s="8"/>
      <c r="C6" s="8"/>
      <c r="D6" s="8"/>
      <c r="E6" s="8"/>
      <c r="F6" s="8"/>
      <c r="G6" s="8"/>
      <c r="H6" s="8"/>
    </row>
    <row r="7" spans="1:10" x14ac:dyDescent="0.35">
      <c r="A7" s="10" t="s">
        <v>5</v>
      </c>
      <c r="B7" s="8"/>
      <c r="C7" s="8"/>
      <c r="D7" s="8"/>
      <c r="E7" s="8"/>
      <c r="F7" s="8"/>
      <c r="G7" s="8"/>
      <c r="H7" s="8"/>
    </row>
    <row r="8" spans="1:10" x14ac:dyDescent="0.35">
      <c r="A8" s="10" t="s">
        <v>6</v>
      </c>
      <c r="B8" s="8"/>
      <c r="C8" s="8"/>
      <c r="D8" s="8"/>
      <c r="E8" s="8"/>
      <c r="F8" s="8"/>
      <c r="G8" s="8"/>
      <c r="H8" s="8"/>
    </row>
    <row r="10" spans="1:10" x14ac:dyDescent="0.35">
      <c r="A10" s="1" t="s">
        <v>7</v>
      </c>
      <c r="B10" s="2" t="s">
        <v>8</v>
      </c>
    </row>
    <row r="11" spans="1:10" x14ac:dyDescent="0.35">
      <c r="A11" s="1" t="s">
        <v>9</v>
      </c>
      <c r="B11" s="3" t="s">
        <v>8</v>
      </c>
    </row>
    <row r="12" spans="1:10" x14ac:dyDescent="0.35">
      <c r="A12" s="1" t="s">
        <v>10</v>
      </c>
      <c r="B12" s="3" t="s">
        <v>11</v>
      </c>
    </row>
    <row r="14" spans="1:10" x14ac:dyDescent="0.35">
      <c r="A14" s="1" t="s">
        <v>12</v>
      </c>
      <c r="B14" s="1">
        <f>IFERROR(_xll.XLL_CA_VERSION(),"PyroApp not loaded")</f>
        <v>714</v>
      </c>
    </row>
    <row r="16" spans="1:10" x14ac:dyDescent="0.35">
      <c r="A16" s="1" t="s">
        <v>13</v>
      </c>
      <c r="B16" s="1" t="s">
        <v>14</v>
      </c>
    </row>
    <row r="17" spans="1:2" x14ac:dyDescent="0.35">
      <c r="A17" s="1" t="s">
        <v>15</v>
      </c>
      <c r="B17" s="1" t="s">
        <v>16</v>
      </c>
    </row>
  </sheetData>
  <mergeCells count="7">
    <mergeCell ref="A8:H8"/>
    <mergeCell ref="A6:H6"/>
    <mergeCell ref="A4:H4"/>
    <mergeCell ref="A1:J1"/>
    <mergeCell ref="A7:H7"/>
    <mergeCell ref="A2:J2"/>
    <mergeCell ref="A5:H5"/>
  </mergeCells>
  <hyperlinks>
    <hyperlink ref="B11" r:id="rId1" xr:uid="{00000000-0004-0000-0000-000000000000}"/>
    <hyperlink ref="B1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workbookViewId="0"/>
  </sheetViews>
  <sheetFormatPr defaultRowHeight="14.5" x14ac:dyDescent="0.35"/>
  <cols>
    <col min="1" max="1" width="12.453125" bestFit="1" customWidth="1"/>
    <col min="2" max="2" width="20.7265625" bestFit="1" customWidth="1"/>
    <col min="3" max="3" width="11.81640625" bestFit="1" customWidth="1"/>
    <col min="4" max="4" width="11.453125" bestFit="1" customWidth="1"/>
    <col min="5" max="5" width="11.81640625" bestFit="1" customWidth="1"/>
    <col min="6" max="6" width="12.453125" bestFit="1" customWidth="1"/>
    <col min="7" max="8" width="11.81640625" bestFit="1" customWidth="1"/>
    <col min="9" max="9" width="5.81640625" bestFit="1" customWidth="1"/>
    <col min="10" max="10" width="12.453125" bestFit="1" customWidth="1"/>
    <col min="11" max="11" width="5.81640625" bestFit="1" customWidth="1"/>
    <col min="12" max="12" width="11.81640625" bestFit="1" customWidth="1"/>
    <col min="13" max="13" width="6.08984375" bestFit="1" customWidth="1"/>
    <col min="14" max="15" width="11.81640625" bestFit="1" customWidth="1"/>
    <col min="16" max="16" width="18" customWidth="1"/>
  </cols>
  <sheetData>
    <row r="1" spans="1:10" ht="23.5" customHeight="1" x14ac:dyDescent="0.55000000000000004">
      <c r="A1" s="9" t="s">
        <v>17</v>
      </c>
      <c r="B1" s="8"/>
      <c r="C1" s="8"/>
      <c r="D1" s="8"/>
      <c r="E1" s="8"/>
      <c r="F1" s="8"/>
      <c r="G1" s="8"/>
      <c r="H1" s="8"/>
      <c r="I1" s="8"/>
      <c r="J1" s="8"/>
    </row>
    <row r="2" spans="1:10" ht="42" customHeight="1" x14ac:dyDescent="0.35">
      <c r="A2" s="11" t="s">
        <v>18</v>
      </c>
      <c r="B2" s="8"/>
      <c r="C2" s="8"/>
      <c r="D2" s="8"/>
      <c r="E2" s="8"/>
      <c r="F2" s="8"/>
      <c r="G2" s="8"/>
      <c r="H2" s="8"/>
      <c r="I2" s="8"/>
      <c r="J2" s="8"/>
    </row>
    <row r="5" spans="1:10" x14ac:dyDescent="0.3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</row>
    <row r="6" spans="1:10" x14ac:dyDescent="0.35">
      <c r="A6" s="2" t="s">
        <v>24</v>
      </c>
      <c r="B6" s="2">
        <v>25</v>
      </c>
      <c r="C6" s="2">
        <v>1</v>
      </c>
      <c r="D6" s="2" t="b">
        <v>1</v>
      </c>
      <c r="E6" s="2">
        <v>1</v>
      </c>
    </row>
    <row r="7" spans="1:10" x14ac:dyDescent="0.35">
      <c r="A7" s="2" t="s">
        <v>24</v>
      </c>
      <c r="B7" s="2">
        <v>-15</v>
      </c>
      <c r="C7" s="2">
        <v>1</v>
      </c>
      <c r="D7" s="2" t="b">
        <v>1</v>
      </c>
      <c r="E7" s="2">
        <v>1</v>
      </c>
    </row>
    <row r="8" spans="1:10" x14ac:dyDescent="0.35">
      <c r="A8" s="2" t="s">
        <v>25</v>
      </c>
      <c r="B8" s="2">
        <v>8</v>
      </c>
      <c r="C8" s="2">
        <v>2</v>
      </c>
      <c r="D8" s="2" t="b">
        <v>1</v>
      </c>
      <c r="E8" s="2">
        <v>1</v>
      </c>
    </row>
    <row r="9" spans="1:10" x14ac:dyDescent="0.35">
      <c r="A9" s="2" t="s">
        <v>25</v>
      </c>
      <c r="B9" s="2">
        <v>-6</v>
      </c>
      <c r="C9" s="2">
        <v>2</v>
      </c>
      <c r="D9" s="2" t="b">
        <v>1</v>
      </c>
      <c r="E9" s="2">
        <v>1</v>
      </c>
    </row>
    <row r="10" spans="1:10" x14ac:dyDescent="0.35">
      <c r="A10" s="2" t="s">
        <v>26</v>
      </c>
      <c r="B10" s="2">
        <v>120</v>
      </c>
      <c r="C10" s="2">
        <v>0.05</v>
      </c>
      <c r="D10" s="2" t="b">
        <v>1</v>
      </c>
      <c r="E10" s="2">
        <v>1</v>
      </c>
    </row>
    <row r="11" spans="1:10" x14ac:dyDescent="0.35">
      <c r="A11" s="2" t="s">
        <v>26</v>
      </c>
      <c r="B11" s="2">
        <v>-80</v>
      </c>
      <c r="C11" s="2">
        <v>0.05</v>
      </c>
      <c r="D11" s="2" t="b">
        <v>1</v>
      </c>
      <c r="E11" s="2">
        <v>1</v>
      </c>
    </row>
    <row r="14" spans="1:10" x14ac:dyDescent="0.35">
      <c r="A14" s="7" t="s">
        <v>27</v>
      </c>
      <c r="B14" s="8"/>
      <c r="C14" s="8"/>
      <c r="D14" s="8"/>
      <c r="E14" s="8"/>
      <c r="F14" s="8"/>
    </row>
    <row r="15" spans="1:10" x14ac:dyDescent="0.35">
      <c r="B15" s="4" t="s">
        <v>28</v>
      </c>
      <c r="C15" s="4" t="s">
        <v>29</v>
      </c>
      <c r="D15" s="4" t="s">
        <v>30</v>
      </c>
    </row>
    <row r="16" spans="1:10" x14ac:dyDescent="0.35">
      <c r="B16" s="2">
        <v>0.8</v>
      </c>
      <c r="C16" s="2">
        <v>0.1</v>
      </c>
      <c r="D16" s="2">
        <v>0</v>
      </c>
    </row>
    <row r="17" spans="2:5" x14ac:dyDescent="0.35">
      <c r="B17" s="2">
        <v>1</v>
      </c>
      <c r="C17" s="2">
        <v>-0.1</v>
      </c>
      <c r="D17" s="2">
        <v>0.1</v>
      </c>
    </row>
    <row r="18" spans="2:5" x14ac:dyDescent="0.35">
      <c r="B18" s="2">
        <v>0.2</v>
      </c>
      <c r="C18" s="2">
        <v>0.6</v>
      </c>
      <c r="D18" s="2">
        <v>-0.1</v>
      </c>
    </row>
    <row r="19" spans="2:5" x14ac:dyDescent="0.35">
      <c r="B19" s="2">
        <v>0.1</v>
      </c>
      <c r="C19" s="2">
        <v>0.8</v>
      </c>
      <c r="D19" s="2">
        <v>0.2</v>
      </c>
    </row>
    <row r="20" spans="2:5" x14ac:dyDescent="0.35">
      <c r="B20" s="2">
        <v>3</v>
      </c>
      <c r="C20" s="2">
        <v>0.5</v>
      </c>
      <c r="D20" s="2">
        <v>1.4</v>
      </c>
    </row>
    <row r="21" spans="2:5" x14ac:dyDescent="0.35">
      <c r="B21" s="2">
        <v>-2</v>
      </c>
      <c r="C21" s="2">
        <v>0.4</v>
      </c>
      <c r="D21" s="2">
        <v>1</v>
      </c>
    </row>
    <row r="23" spans="2:5" x14ac:dyDescent="0.35">
      <c r="B23" s="1" t="s">
        <v>31</v>
      </c>
      <c r="C23" s="2" t="b">
        <v>1</v>
      </c>
      <c r="D23" s="2" t="b">
        <v>1</v>
      </c>
      <c r="E23" s="2" t="b">
        <v>0</v>
      </c>
    </row>
    <row r="24" spans="2:5" x14ac:dyDescent="0.35">
      <c r="B24" s="1" t="s">
        <v>32</v>
      </c>
      <c r="C24" s="2">
        <v>0</v>
      </c>
      <c r="D24" s="2">
        <v>0</v>
      </c>
      <c r="E24" s="2">
        <v>0</v>
      </c>
    </row>
    <row r="26" spans="2:5" x14ac:dyDescent="0.35">
      <c r="B26" s="1" t="s">
        <v>33</v>
      </c>
      <c r="C26" s="1" cm="1">
        <f t="array" ref="C26:E26">_xll.XLL_LINEAR_REGRESSION($B$16:$D$21,$B$6:$B$11,$C$6:$C$11,$C$23:$E$23,$C$24:$E$24)</f>
        <v>13.836652446451009</v>
      </c>
      <c r="D26">
        <v>-0.1677092699226499</v>
      </c>
      <c r="E26">
        <v>0</v>
      </c>
    </row>
    <row r="28" spans="2:5" x14ac:dyDescent="0.35">
      <c r="B28" s="1" t="s">
        <v>34</v>
      </c>
      <c r="C28" s="1" cm="1">
        <f t="array" ref="C28:E28">_xll.XLL_BEST_COMBINATION($B$16:$D$21,$B$6:$B$11,$C$6:$C$11,$C$23:$E$23,$C$24:$E$24,2)</f>
        <v>1</v>
      </c>
      <c r="D28">
        <v>1</v>
      </c>
      <c r="E28">
        <v>0</v>
      </c>
    </row>
    <row r="33" spans="1:15" x14ac:dyDescent="0.35">
      <c r="A33" s="1">
        <f t="shared" ref="A33:A38" si="0">B6-SUMPRODUCT(B16:D16,$C$26:$E$26)</f>
        <v>13.947448969831457</v>
      </c>
      <c r="C33" s="1" t="str" cm="1">
        <f t="array" ref="C33:O38">_xll.XLL_PD_ERROR_TABLE($A$6:$A$11,$B$6:$B$11,$A$33:$A$38,$D$6:$D$11,$E$6:$E$11)</f>
        <v/>
      </c>
      <c r="D33" t="str">
        <v>COUNT</v>
      </c>
      <c r="E33" t="str">
        <v>MEAN</v>
      </c>
      <c r="F33" t="str">
        <v>MEAN</v>
      </c>
      <c r="G33" t="str">
        <v>RMS</v>
      </c>
      <c r="H33" t="str">
        <v>RMS</v>
      </c>
      <c r="I33" t="str">
        <v>MIN</v>
      </c>
      <c r="J33" t="str">
        <v>MIN</v>
      </c>
      <c r="K33" t="str">
        <v>MAX</v>
      </c>
      <c r="L33" t="str">
        <v>MAX</v>
      </c>
      <c r="M33" t="str">
        <v>MEAN</v>
      </c>
      <c r="N33" t="str">
        <v>RMS(x)</v>
      </c>
      <c r="O33" t="str">
        <v>RMS(x)</v>
      </c>
    </row>
    <row r="34" spans="1:15" x14ac:dyDescent="0.35">
      <c r="A34" s="1">
        <f t="shared" si="0"/>
        <v>-28.853423373443274</v>
      </c>
      <c r="C34" t="str">
        <v>phase</v>
      </c>
      <c r="D34" t="str">
        <v>initial</v>
      </c>
      <c r="E34" t="str">
        <v>initial</v>
      </c>
      <c r="F34" t="str">
        <v>predicted</v>
      </c>
      <c r="G34" t="str">
        <v>initial</v>
      </c>
      <c r="H34" t="str">
        <v>predicted</v>
      </c>
      <c r="I34" t="str">
        <v>initial</v>
      </c>
      <c r="J34" t="str">
        <v>predicted</v>
      </c>
      <c r="K34" t="str">
        <v>initial</v>
      </c>
      <c r="L34" t="str">
        <v>predicted</v>
      </c>
      <c r="M34" t="str">
        <v>dT/dx</v>
      </c>
      <c r="N34" t="str">
        <v>initial</v>
      </c>
      <c r="O34" t="str">
        <v>predicted</v>
      </c>
    </row>
    <row r="35" spans="1:15" x14ac:dyDescent="0.35">
      <c r="A35" s="1">
        <f t="shared" si="0"/>
        <v>5.3332950726633879</v>
      </c>
      <c r="C35" t="str">
        <v>invariant</v>
      </c>
      <c r="D35">
        <v>2</v>
      </c>
      <c r="E35">
        <v>1</v>
      </c>
      <c r="F35">
        <v>-0.95810137802179662</v>
      </c>
      <c r="G35">
        <v>7.0710678118654755</v>
      </c>
      <c r="H35">
        <v>6.3639317681965606</v>
      </c>
      <c r="I35">
        <v>-6</v>
      </c>
      <c r="J35">
        <v>-7.2494978287069811</v>
      </c>
      <c r="K35">
        <v>8</v>
      </c>
      <c r="L35">
        <v>5.3332950726633879</v>
      </c>
      <c r="M35">
        <v>1</v>
      </c>
      <c r="N35">
        <v>7.0710678118654755</v>
      </c>
      <c r="O35">
        <v>6.3639317681965606</v>
      </c>
    </row>
    <row r="36" spans="1:15" x14ac:dyDescent="0.35">
      <c r="A36" s="1">
        <f t="shared" si="0"/>
        <v>-7.2494978287069811</v>
      </c>
      <c r="C36" t="str">
        <v>liquidus</v>
      </c>
      <c r="D36">
        <v>2</v>
      </c>
      <c r="E36">
        <v>5</v>
      </c>
      <c r="F36">
        <v>-7.4529872018059082</v>
      </c>
      <c r="G36">
        <v>20.615528128088304</v>
      </c>
      <c r="H36">
        <v>22.661105148836135</v>
      </c>
      <c r="I36">
        <v>-15</v>
      </c>
      <c r="J36">
        <v>-28.853423373443274</v>
      </c>
      <c r="K36">
        <v>25</v>
      </c>
      <c r="L36">
        <v>13.947448969831457</v>
      </c>
      <c r="M36">
        <v>1</v>
      </c>
      <c r="N36">
        <v>20.615528128088304</v>
      </c>
      <c r="O36">
        <v>22.661105148836135</v>
      </c>
    </row>
    <row r="37" spans="1:15" x14ac:dyDescent="0.35">
      <c r="A37" s="1">
        <f t="shared" si="0"/>
        <v>78.573897295608305</v>
      </c>
      <c r="C37" t="str">
        <v>mixing</v>
      </c>
      <c r="D37">
        <v>2</v>
      </c>
      <c r="E37">
        <v>20</v>
      </c>
      <c r="F37">
        <v>13.157142948239692</v>
      </c>
      <c r="G37">
        <v>101.9803902718557</v>
      </c>
      <c r="H37">
        <v>66.726772437338695</v>
      </c>
      <c r="I37">
        <v>-80</v>
      </c>
      <c r="J37">
        <v>-52.259611399128922</v>
      </c>
      <c r="K37">
        <v>120</v>
      </c>
      <c r="L37">
        <v>78.573897295608305</v>
      </c>
      <c r="M37">
        <v>1</v>
      </c>
      <c r="N37">
        <v>101.9803902718557</v>
      </c>
      <c r="O37">
        <v>66.726772437338695</v>
      </c>
    </row>
    <row r="38" spans="1:15" x14ac:dyDescent="0.35">
      <c r="A38" s="1">
        <f t="shared" si="0"/>
        <v>-52.259611399128922</v>
      </c>
      <c r="C38" t="str">
        <v>Total</v>
      </c>
      <c r="D38">
        <v>6</v>
      </c>
      <c r="E38">
        <v>8.6666666666666661</v>
      </c>
      <c r="F38">
        <v>1.5820181228039953</v>
      </c>
      <c r="G38">
        <v>60.207972893961475</v>
      </c>
      <c r="H38">
        <v>40.851305462703202</v>
      </c>
      <c r="I38">
        <v>-80</v>
      </c>
      <c r="J38">
        <v>-52.259611399128922</v>
      </c>
      <c r="K38">
        <v>120</v>
      </c>
      <c r="L38">
        <v>78.573897295608305</v>
      </c>
      <c r="M38">
        <v>1</v>
      </c>
      <c r="N38">
        <v>60.207972893961475</v>
      </c>
      <c r="O38">
        <v>40.851305462703202</v>
      </c>
    </row>
    <row r="41" spans="1:15" ht="30" customHeight="1" x14ac:dyDescent="0.35">
      <c r="A41" s="12" t="s">
        <v>35</v>
      </c>
      <c r="B41" s="8"/>
      <c r="C41" s="8"/>
      <c r="D41" s="8"/>
      <c r="E41" s="8"/>
      <c r="F41" s="8"/>
      <c r="G41" s="8"/>
      <c r="H41" s="8"/>
      <c r="I41" s="8"/>
      <c r="J41" s="8"/>
    </row>
  </sheetData>
  <mergeCells count="4">
    <mergeCell ref="A14:F14"/>
    <mergeCell ref="A1:J1"/>
    <mergeCell ref="A41:J4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/>
  </sheetViews>
  <sheetFormatPr defaultRowHeight="14.5" x14ac:dyDescent="0.35"/>
  <cols>
    <col min="1" max="1" width="23.1796875" bestFit="1" customWidth="1"/>
    <col min="2" max="2" width="22.08984375" bestFit="1" customWidth="1"/>
    <col min="3" max="3" width="7.6328125" bestFit="1" customWidth="1"/>
    <col min="4" max="5" width="11.1796875" bestFit="1" customWidth="1"/>
    <col min="6" max="16" width="18" customWidth="1"/>
  </cols>
  <sheetData>
    <row r="1" spans="1:10" x14ac:dyDescent="0.35">
      <c r="A1" s="1" t="s">
        <v>36</v>
      </c>
      <c r="B1" s="5" t="s">
        <v>37</v>
      </c>
      <c r="D1" s="13" t="s">
        <v>38</v>
      </c>
      <c r="E1" s="8"/>
      <c r="F1" s="8"/>
      <c r="G1" s="8"/>
      <c r="H1" s="8"/>
      <c r="I1" s="8"/>
      <c r="J1" s="8"/>
    </row>
    <row r="2" spans="1:10" x14ac:dyDescent="0.35">
      <c r="A2" s="1" t="s">
        <v>39</v>
      </c>
      <c r="B2" s="5" t="s">
        <v>40</v>
      </c>
      <c r="D2" s="14" t="s">
        <v>41</v>
      </c>
      <c r="E2" s="8"/>
      <c r="F2" s="8"/>
      <c r="G2" s="8"/>
      <c r="H2" s="8"/>
      <c r="I2" s="8"/>
      <c r="J2" s="8"/>
    </row>
    <row r="3" spans="1:10" x14ac:dyDescent="0.35">
      <c r="A3" s="1" t="s">
        <v>42</v>
      </c>
      <c r="B3" s="5" t="s">
        <v>43</v>
      </c>
      <c r="D3" s="8"/>
      <c r="E3" s="8"/>
      <c r="F3" s="8"/>
      <c r="G3" s="8"/>
      <c r="H3" s="8"/>
      <c r="I3" s="8"/>
      <c r="J3" s="8"/>
    </row>
    <row r="4" spans="1:10" x14ac:dyDescent="0.35">
      <c r="A4" s="1" t="s">
        <v>44</v>
      </c>
      <c r="B4" s="5" t="s">
        <v>45</v>
      </c>
    </row>
    <row r="5" spans="1:10" x14ac:dyDescent="0.35">
      <c r="A5" s="1" t="s">
        <v>46</v>
      </c>
      <c r="B5" s="5" t="s">
        <v>47</v>
      </c>
    </row>
    <row r="6" spans="1:10" x14ac:dyDescent="0.35">
      <c r="A6" s="1" t="s">
        <v>48</v>
      </c>
      <c r="B6" s="5" t="s">
        <v>49</v>
      </c>
    </row>
    <row r="7" spans="1:10" x14ac:dyDescent="0.35">
      <c r="C7" s="4" t="s">
        <v>50</v>
      </c>
      <c r="D7" s="4" t="s">
        <v>51</v>
      </c>
      <c r="E7" s="4" t="s">
        <v>52</v>
      </c>
    </row>
    <row r="8" spans="1:10" x14ac:dyDescent="0.35">
      <c r="C8" s="1" t="s">
        <v>53</v>
      </c>
    </row>
    <row r="9" spans="1:10" x14ac:dyDescent="0.35">
      <c r="C9" s="1" t="s">
        <v>54</v>
      </c>
    </row>
    <row r="10" spans="1:10" x14ac:dyDescent="0.35">
      <c r="C10" s="1" t="s">
        <v>55</v>
      </c>
    </row>
    <row r="11" spans="1:10" x14ac:dyDescent="0.35">
      <c r="C11" s="1" t="s">
        <v>56</v>
      </c>
    </row>
    <row r="12" spans="1:10" x14ac:dyDescent="0.35">
      <c r="C12" s="1" t="s">
        <v>57</v>
      </c>
    </row>
    <row r="15" spans="1:10" ht="45" customHeight="1" x14ac:dyDescent="0.35">
      <c r="A15" s="12" t="s">
        <v>58</v>
      </c>
      <c r="B15" s="8"/>
      <c r="C15" s="8"/>
      <c r="D15" s="8"/>
      <c r="E15" s="8"/>
      <c r="F15" s="8"/>
      <c r="G15" s="8"/>
      <c r="H15" s="8"/>
      <c r="I15" s="8"/>
      <c r="J15" s="8"/>
    </row>
  </sheetData>
  <mergeCells count="3">
    <mergeCell ref="D1:J1"/>
    <mergeCell ref="D2:J3"/>
    <mergeCell ref="A15:J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/>
  </sheetViews>
  <sheetFormatPr defaultRowHeight="14.5" x14ac:dyDescent="0.35"/>
  <cols>
    <col min="1" max="1" width="28.36328125" bestFit="1" customWidth="1"/>
    <col min="2" max="2" width="33.54296875" bestFit="1" customWidth="1"/>
    <col min="3" max="3" width="18" customWidth="1"/>
    <col min="4" max="4" width="25.7265625" bestFit="1" customWidth="1"/>
    <col min="5" max="16" width="18" customWidth="1"/>
  </cols>
  <sheetData>
    <row r="1" spans="1:10" ht="23.5" customHeight="1" x14ac:dyDescent="0.55000000000000004">
      <c r="A1" s="9" t="s">
        <v>59</v>
      </c>
      <c r="B1" s="8"/>
      <c r="C1" s="8"/>
      <c r="D1" s="8"/>
      <c r="E1" s="8"/>
      <c r="F1" s="8"/>
      <c r="G1" s="8"/>
      <c r="H1" s="8"/>
      <c r="I1" s="8"/>
      <c r="J1" s="8"/>
    </row>
    <row r="2" spans="1:10" ht="42" customHeight="1" x14ac:dyDescent="0.35">
      <c r="A2" s="11" t="s">
        <v>60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35">
      <c r="A4" s="1" t="s">
        <v>61</v>
      </c>
      <c r="B4" s="2" t="s">
        <v>62</v>
      </c>
      <c r="D4" s="1" t="s">
        <v>63</v>
      </c>
    </row>
    <row r="5" spans="1:10" x14ac:dyDescent="0.35">
      <c r="A5" s="1" t="s">
        <v>64</v>
      </c>
      <c r="B5" s="1" t="str" cm="1">
        <f t="array" ref="B5:B6">_xll.XLL_CA_LIST_INTERACTIONS_G(Start!$B$10,$B$4)</f>
        <v>(Ca)^[0]-(Zn)^[0]: (O) (Quasichemical)</v>
      </c>
      <c r="D5" s="1" t="s">
        <v>65</v>
      </c>
    </row>
    <row r="6" spans="1:10" x14ac:dyDescent="0.35">
      <c r="B6" t="str">
        <v>(Ca)^[0]-(Zn)^[1]: (O) (Quasichemical)</v>
      </c>
    </row>
    <row r="8" spans="1:10" x14ac:dyDescent="0.35">
      <c r="A8" s="1" t="s">
        <v>66</v>
      </c>
      <c r="B8" s="2">
        <v>-26652.080000000002</v>
      </c>
    </row>
    <row r="9" spans="1:10" x14ac:dyDescent="0.35">
      <c r="A9" s="1" t="s">
        <v>67</v>
      </c>
      <c r="B9" s="2">
        <v>0</v>
      </c>
    </row>
    <row r="10" spans="1:10" x14ac:dyDescent="0.35">
      <c r="A10" s="1" t="s">
        <v>68</v>
      </c>
      <c r="B10" s="2">
        <v>100</v>
      </c>
    </row>
    <row r="11" spans="1:10" x14ac:dyDescent="0.35">
      <c r="A11" s="1" t="s">
        <v>69</v>
      </c>
      <c r="B11" s="2">
        <v>0.1</v>
      </c>
    </row>
    <row r="12" spans="1:10" x14ac:dyDescent="0.35">
      <c r="A12" s="1" t="s">
        <v>70</v>
      </c>
      <c r="B12" s="5">
        <v>0</v>
      </c>
    </row>
    <row r="13" spans="1:10" x14ac:dyDescent="0.35">
      <c r="A13" s="1" t="s">
        <v>71</v>
      </c>
      <c r="B13" s="5" t="b">
        <v>1</v>
      </c>
    </row>
    <row r="14" spans="1:10" x14ac:dyDescent="0.35">
      <c r="A14" s="1" t="s">
        <v>72</v>
      </c>
      <c r="B14" s="5" t="b">
        <v>1</v>
      </c>
    </row>
    <row r="15" spans="1:10" x14ac:dyDescent="0.35">
      <c r="A15" s="1" t="s">
        <v>73</v>
      </c>
      <c r="B15" s="5" t="b">
        <v>0</v>
      </c>
    </row>
    <row r="17" spans="1:8" x14ac:dyDescent="0.35">
      <c r="A17" s="1" t="s">
        <v>74</v>
      </c>
      <c r="B17" s="1" cm="1">
        <f t="array" ref="B17">_xll.XLL_CA_GET_INTERACTION_PARAMETERS_G(Start!$B$10,$B$4,$B$5,1)</f>
        <v>-26652.080000000002</v>
      </c>
    </row>
    <row r="18" spans="1:8" x14ac:dyDescent="0.35">
      <c r="A18" s="1" t="s">
        <v>75</v>
      </c>
      <c r="B18" s="1" cm="1">
        <f t="array" ref="B18">_xll.XLL_CA_GET_INTERACTION_PARAMETERS_G(Start!$B$10,$B$4,$B$5,2)</f>
        <v>0</v>
      </c>
    </row>
    <row r="20" spans="1:8" x14ac:dyDescent="0.35">
      <c r="A20" s="1" t="s">
        <v>76</v>
      </c>
      <c r="B20" s="1" t="str">
        <f>IF($B$15,_xll.XLL_CA_SET_INTERACTION_PARAMETERS_G(Start!$B$10,$B$4,$B$5,$B$8,1,$B$12),"Disabled")</f>
        <v>Disabled</v>
      </c>
    </row>
    <row r="21" spans="1:8" x14ac:dyDescent="0.35">
      <c r="A21" s="1" t="s">
        <v>77</v>
      </c>
      <c r="B21" s="1" t="str">
        <f>IF($B$15,_xll.XLL_CA_SET_INTERACTION_PARAMETERS_G(Start!$B$10,$B$4,$B$5,$B$9,2,$B$12),"Disabled")</f>
        <v>Disabled</v>
      </c>
    </row>
    <row r="23" spans="1:8" x14ac:dyDescent="0.35">
      <c r="A23" s="1" t="s">
        <v>78</v>
      </c>
      <c r="B23" s="1">
        <f>B12</f>
        <v>0</v>
      </c>
    </row>
    <row r="25" spans="1:8" ht="45" customHeight="1" x14ac:dyDescent="0.35">
      <c r="A25" s="15" t="s">
        <v>79</v>
      </c>
      <c r="B25" s="8"/>
      <c r="C25" s="8"/>
      <c r="D25" s="8"/>
      <c r="E25" s="8"/>
      <c r="F25" s="8"/>
      <c r="G25" s="8"/>
      <c r="H25" s="8"/>
    </row>
  </sheetData>
  <mergeCells count="3">
    <mergeCell ref="A25:H25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/>
  </sheetViews>
  <sheetFormatPr defaultRowHeight="14.5" x14ac:dyDescent="0.35"/>
  <cols>
    <col min="1" max="1" width="24" customWidth="1"/>
    <col min="2" max="2" width="5.26953125" bestFit="1" customWidth="1"/>
    <col min="3" max="3" width="7.08984375" bestFit="1" customWidth="1"/>
    <col min="4" max="5" width="3.81640625" bestFit="1" customWidth="1"/>
    <col min="6" max="6" width="2.7265625" bestFit="1" customWidth="1"/>
    <col min="7" max="7" width="18" customWidth="1"/>
    <col min="8" max="8" width="12.453125" bestFit="1" customWidth="1"/>
    <col min="9" max="9" width="6.54296875" bestFit="1" customWidth="1"/>
    <col min="10" max="10" width="16.1796875" bestFit="1" customWidth="1"/>
    <col min="11" max="11" width="11.453125" bestFit="1" customWidth="1"/>
    <col min="12" max="12" width="18" customWidth="1"/>
    <col min="13" max="13" width="14" bestFit="1" customWidth="1"/>
    <col min="14" max="16" width="18" customWidth="1"/>
  </cols>
  <sheetData>
    <row r="1" spans="1:13" ht="23.5" customHeight="1" x14ac:dyDescent="0.55000000000000004">
      <c r="A1" s="9" t="s">
        <v>80</v>
      </c>
      <c r="B1" s="8"/>
      <c r="C1" s="8"/>
      <c r="D1" s="8"/>
      <c r="E1" s="8"/>
      <c r="F1" s="8"/>
      <c r="G1" s="8"/>
      <c r="H1" s="8"/>
      <c r="I1" s="8"/>
      <c r="J1" s="8"/>
    </row>
    <row r="2" spans="1:13" ht="42" customHeight="1" x14ac:dyDescent="0.35">
      <c r="A2" s="11" t="s">
        <v>81</v>
      </c>
      <c r="B2" s="8"/>
      <c r="C2" s="8"/>
      <c r="D2" s="8"/>
      <c r="E2" s="8"/>
      <c r="F2" s="8"/>
      <c r="G2" s="8"/>
      <c r="H2" s="8"/>
      <c r="I2" s="8"/>
      <c r="J2" s="8"/>
    </row>
    <row r="4" spans="1:13" ht="29" customHeight="1" x14ac:dyDescent="0.35">
      <c r="B4" s="4" t="s">
        <v>82</v>
      </c>
      <c r="C4" s="4" t="s">
        <v>83</v>
      </c>
      <c r="D4" s="4" t="s">
        <v>84</v>
      </c>
      <c r="E4" s="4" t="s">
        <v>84</v>
      </c>
      <c r="F4" s="4" t="s">
        <v>84</v>
      </c>
      <c r="H4" s="4" t="s">
        <v>85</v>
      </c>
      <c r="I4" s="4" t="s">
        <v>86</v>
      </c>
      <c r="J4" s="4" t="s">
        <v>87</v>
      </c>
      <c r="K4" s="4" t="s">
        <v>88</v>
      </c>
      <c r="M4" s="4" t="s">
        <v>89</v>
      </c>
    </row>
    <row r="5" spans="1:13" x14ac:dyDescent="0.35">
      <c r="B5" s="6" t="s">
        <v>90</v>
      </c>
      <c r="C5" s="6" t="s">
        <v>90</v>
      </c>
      <c r="D5" s="6" t="s">
        <v>90</v>
      </c>
      <c r="E5" s="6" t="s">
        <v>90</v>
      </c>
      <c r="F5" s="6" t="s">
        <v>90</v>
      </c>
      <c r="H5" s="6" t="s">
        <v>62</v>
      </c>
      <c r="I5" s="6" t="s">
        <v>90</v>
      </c>
      <c r="M5" s="2" t="s">
        <v>62</v>
      </c>
    </row>
    <row r="6" spans="1:13" x14ac:dyDescent="0.35">
      <c r="B6" s="6" t="s">
        <v>90</v>
      </c>
      <c r="C6" s="6" t="s">
        <v>90</v>
      </c>
      <c r="D6" s="6" t="s">
        <v>91</v>
      </c>
      <c r="E6" s="6" t="s">
        <v>92</v>
      </c>
      <c r="F6" s="6" t="s">
        <v>93</v>
      </c>
      <c r="H6" s="6" t="s">
        <v>90</v>
      </c>
      <c r="I6" s="6" t="s">
        <v>90</v>
      </c>
    </row>
    <row r="8" spans="1:13" x14ac:dyDescent="0.35">
      <c r="B8" s="2">
        <v>1400</v>
      </c>
      <c r="C8" s="2">
        <v>1</v>
      </c>
      <c r="D8" s="2">
        <v>0.8</v>
      </c>
      <c r="E8" s="2">
        <v>0.2</v>
      </c>
      <c r="F8" s="2">
        <v>1</v>
      </c>
      <c r="H8" s="1" cm="1">
        <f t="array" ref="H8:I12">_xll.XLL_CA_CALCULATE(Start!$B$10,$B$4:$F$6,$B$8:$F$12,$H$4:$I$6,$M$5:$M$5,Parameters!$B$23)</f>
        <v>-699151.3245521005</v>
      </c>
      <c r="I8">
        <v>0</v>
      </c>
      <c r="J8" s="1">
        <f>IF(I8=0,K8-H8,NA())</f>
        <v>-100848.6754478995</v>
      </c>
      <c r="K8" s="2">
        <v>-800000</v>
      </c>
    </row>
    <row r="9" spans="1:13" x14ac:dyDescent="0.35">
      <c r="B9" s="2">
        <v>1450</v>
      </c>
      <c r="C9" s="2">
        <v>1</v>
      </c>
      <c r="D9" s="2">
        <v>0.6</v>
      </c>
      <c r="E9" s="2">
        <v>0.4</v>
      </c>
      <c r="F9" s="2">
        <v>1</v>
      </c>
      <c r="H9">
        <v>-661586.85766258847</v>
      </c>
      <c r="I9">
        <v>0</v>
      </c>
      <c r="J9" s="1">
        <f>IF(I9=0,K9-H9,NA())</f>
        <v>-188413.14233741153</v>
      </c>
      <c r="K9" s="2">
        <v>-850000</v>
      </c>
    </row>
    <row r="10" spans="1:13" x14ac:dyDescent="0.35">
      <c r="B10" s="2">
        <v>1500</v>
      </c>
      <c r="C10" s="2">
        <v>1</v>
      </c>
      <c r="D10" s="2">
        <v>0.4</v>
      </c>
      <c r="E10" s="2">
        <v>0.6</v>
      </c>
      <c r="F10" s="2">
        <v>1</v>
      </c>
      <c r="H10">
        <v>-619128.74080267362</v>
      </c>
      <c r="I10">
        <v>0</v>
      </c>
      <c r="J10" s="1">
        <f>IF(I10=0,K10-H10,NA())</f>
        <v>-280871.25919732638</v>
      </c>
      <c r="K10" s="2">
        <v>-900000</v>
      </c>
    </row>
    <row r="11" spans="1:13" x14ac:dyDescent="0.35">
      <c r="B11" s="2">
        <v>1550</v>
      </c>
      <c r="C11" s="2">
        <v>1</v>
      </c>
      <c r="D11" s="2">
        <v>0.2</v>
      </c>
      <c r="E11" s="2">
        <v>0.8</v>
      </c>
      <c r="F11" s="2">
        <v>1</v>
      </c>
      <c r="H11">
        <v>-569925.62363341439</v>
      </c>
      <c r="I11">
        <v>0</v>
      </c>
      <c r="J11" s="1">
        <f>IF(I11=0,K11-H11,NA())</f>
        <v>-380074.37636658561</v>
      </c>
      <c r="K11" s="2">
        <v>-950000</v>
      </c>
    </row>
    <row r="12" spans="1:13" x14ac:dyDescent="0.35">
      <c r="B12" s="2">
        <v>1600</v>
      </c>
      <c r="C12" s="2">
        <v>1</v>
      </c>
      <c r="D12" s="2">
        <v>1</v>
      </c>
      <c r="E12" s="2">
        <v>0</v>
      </c>
      <c r="F12" s="2">
        <v>1</v>
      </c>
      <c r="H12">
        <v>-771243.26476493722</v>
      </c>
      <c r="I12">
        <v>0</v>
      </c>
      <c r="J12" s="1">
        <f>IF(I12=0,K12-H12,NA())</f>
        <v>71243.264764937223</v>
      </c>
      <c r="K12" s="2">
        <v>-700000</v>
      </c>
    </row>
    <row r="15" spans="1:13" ht="30" customHeight="1" x14ac:dyDescent="0.35">
      <c r="A15" s="16" t="s">
        <v>94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</sheetData>
  <mergeCells count="3">
    <mergeCell ref="A1:J1"/>
    <mergeCell ref="A15:L15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workbookViewId="0"/>
  </sheetViews>
  <sheetFormatPr defaultRowHeight="14.5" x14ac:dyDescent="0.35"/>
  <cols>
    <col min="1" max="1" width="25.7265625" bestFit="1" customWidth="1"/>
    <col min="2" max="2" width="12.453125" bestFit="1" customWidth="1"/>
    <col min="3" max="4" width="6" bestFit="1" customWidth="1"/>
    <col min="5" max="16" width="18" customWidth="1"/>
  </cols>
  <sheetData>
    <row r="1" spans="1:10" ht="23.5" customHeight="1" x14ac:dyDescent="0.55000000000000004">
      <c r="A1" s="9" t="s">
        <v>95</v>
      </c>
      <c r="B1" s="8"/>
      <c r="C1" s="8"/>
      <c r="D1" s="8"/>
      <c r="E1" s="8"/>
      <c r="F1" s="8"/>
      <c r="G1" s="8"/>
      <c r="H1" s="8"/>
      <c r="I1" s="8"/>
      <c r="J1" s="8"/>
    </row>
    <row r="4" spans="1:10" x14ac:dyDescent="0.35">
      <c r="A4" s="4" t="s">
        <v>21</v>
      </c>
      <c r="B4" s="4" t="s">
        <v>20</v>
      </c>
      <c r="C4" s="4" t="s">
        <v>96</v>
      </c>
      <c r="D4" s="4" t="s">
        <v>97</v>
      </c>
    </row>
    <row r="5" spans="1:10" x14ac:dyDescent="0.35">
      <c r="A5" s="2">
        <v>1</v>
      </c>
      <c r="B5" s="1">
        <f>'Live targets'!J8</f>
        <v>-100848.6754478995</v>
      </c>
      <c r="C5" s="1">
        <f>'Derivative matrix setup'!D8</f>
        <v>0</v>
      </c>
      <c r="D5" s="1">
        <f>'Derivative matrix setup'!E8</f>
        <v>0</v>
      </c>
    </row>
    <row r="6" spans="1:10" x14ac:dyDescent="0.35">
      <c r="A6" s="2">
        <v>1</v>
      </c>
      <c r="B6" s="1">
        <f>'Live targets'!J9</f>
        <v>-188413.14233741153</v>
      </c>
      <c r="C6" s="1">
        <f>'Derivative matrix setup'!D9</f>
        <v>0</v>
      </c>
      <c r="D6" s="1">
        <f>'Derivative matrix setup'!E9</f>
        <v>0</v>
      </c>
    </row>
    <row r="7" spans="1:10" x14ac:dyDescent="0.35">
      <c r="A7" s="2">
        <v>1</v>
      </c>
      <c r="B7" s="1">
        <f>'Live targets'!J10</f>
        <v>-280871.25919732638</v>
      </c>
      <c r="C7" s="1">
        <f>'Derivative matrix setup'!D10</f>
        <v>0</v>
      </c>
      <c r="D7" s="1">
        <f>'Derivative matrix setup'!E10</f>
        <v>0</v>
      </c>
    </row>
    <row r="8" spans="1:10" x14ac:dyDescent="0.35">
      <c r="A8" s="2">
        <v>1</v>
      </c>
      <c r="B8" s="1">
        <f>'Live targets'!J11</f>
        <v>-380074.37636658561</v>
      </c>
      <c r="C8" s="1">
        <f>'Derivative matrix setup'!D11</f>
        <v>0</v>
      </c>
      <c r="D8" s="1">
        <f>'Derivative matrix setup'!E11</f>
        <v>0</v>
      </c>
    </row>
    <row r="9" spans="1:10" x14ac:dyDescent="0.35">
      <c r="A9" s="2">
        <v>1</v>
      </c>
      <c r="B9" s="1">
        <f>'Live targets'!J12</f>
        <v>71243.264764937223</v>
      </c>
      <c r="C9" s="1">
        <f>'Derivative matrix setup'!D12</f>
        <v>0</v>
      </c>
      <c r="D9" s="1">
        <f>'Derivative matrix setup'!E12</f>
        <v>0</v>
      </c>
    </row>
    <row r="12" spans="1:10" x14ac:dyDescent="0.35">
      <c r="A12" s="1" t="s">
        <v>31</v>
      </c>
      <c r="B12" s="2" t="b">
        <v>1</v>
      </c>
      <c r="C12" s="2" t="b">
        <v>1</v>
      </c>
    </row>
    <row r="13" spans="1:10" x14ac:dyDescent="0.35">
      <c r="A13" s="1" t="s">
        <v>32</v>
      </c>
      <c r="B13" s="2">
        <v>0</v>
      </c>
      <c r="C13" s="2">
        <v>0</v>
      </c>
    </row>
    <row r="15" spans="1:10" x14ac:dyDescent="0.35">
      <c r="A15" s="1" t="s">
        <v>33</v>
      </c>
      <c r="B15" s="1" cm="1">
        <f t="array" ref="B15:C15">_xll.XLL_LINEAR_REGRESSION($C$5:$D$9,$B$5:$B$9,$A$5:$A$9,$B$12:$C$12,$B$13:$C$13)</f>
        <v>0</v>
      </c>
      <c r="C15">
        <v>0</v>
      </c>
    </row>
    <row r="17" spans="1:8" x14ac:dyDescent="0.35">
      <c r="A17" s="1" t="s">
        <v>98</v>
      </c>
      <c r="B17" s="1" cm="1">
        <f t="array" ref="B17:C17">_xll.XLL_BEST_COMBINATION($C$5:$D$9,$B$5:$B$9,$A$5:$A$9,$B$12:$C$12,$B$13:$C$13,1)</f>
        <v>0</v>
      </c>
      <c r="C17">
        <v>0</v>
      </c>
    </row>
    <row r="20" spans="1:8" x14ac:dyDescent="0.35">
      <c r="A20" s="1" t="s">
        <v>99</v>
      </c>
      <c r="B20" s="2">
        <v>0.25</v>
      </c>
    </row>
    <row r="21" spans="1:8" x14ac:dyDescent="0.35">
      <c r="A21" s="1" t="s">
        <v>100</v>
      </c>
      <c r="B21" s="1">
        <f>Parameters!B8+$B$20*B15</f>
        <v>-26652.080000000002</v>
      </c>
    </row>
    <row r="22" spans="1:8" x14ac:dyDescent="0.35">
      <c r="A22" s="1" t="s">
        <v>101</v>
      </c>
      <c r="B22" s="1">
        <f>Parameters!B9+$B$20*C15</f>
        <v>0</v>
      </c>
    </row>
    <row r="25" spans="1:8" ht="45" customHeight="1" x14ac:dyDescent="0.35">
      <c r="A25" s="12" t="s">
        <v>102</v>
      </c>
      <c r="B25" s="8"/>
      <c r="C25" s="8"/>
      <c r="D25" s="8"/>
      <c r="E25" s="8"/>
      <c r="F25" s="8"/>
      <c r="G25" s="8"/>
      <c r="H25" s="8"/>
    </row>
  </sheetData>
  <mergeCells count="2">
    <mergeCell ref="A25:H25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</vt:lpstr>
      <vt:lpstr>Synthetic regression</vt:lpstr>
      <vt:lpstr>Derivative matrix setup</vt:lpstr>
      <vt:lpstr>Parameters</vt:lpstr>
      <vt:lpstr>Live targets</vt:lpstr>
      <vt:lpstr>Live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Evgenii Nekhoroshev</cp:lastModifiedBy>
  <dcterms:created xsi:type="dcterms:W3CDTF">2026-09-24T01:04:17Z</dcterms:created>
  <dcterms:modified xsi:type="dcterms:W3CDTF">2026-09-24T01:05:18Z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2026-09-24T01:05:18Z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4041ce70-be83-44dd-8799-623ea103f162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