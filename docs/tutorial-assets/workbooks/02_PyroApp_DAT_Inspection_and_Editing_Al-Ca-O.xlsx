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rowse" sheetId="2" state="visible" r:id="rId2"/>
    <sheet xmlns:r="http://schemas.openxmlformats.org/officeDocument/2006/relationships" name="Compound data" sheetId="3" state="visible" r:id="rId3"/>
    <sheet xmlns:r="http://schemas.openxmlformats.org/officeDocument/2006/relationships" name="Constituent data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Safe edit" sheetId="6" state="visible" r:id="rId6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0000FF"/>
    </font>
    <font>
      <color rgb="00008000"/>
      <u val="single"/>
    </font>
    <font>
      <color rgb="007030A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wrapText="1"/>
    </xf>
    <xf numFmtId="0" fontId="5" fillId="5" borderId="0" pivotButton="0" quotePrefix="0" xfId="0"/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vnekdev.github.io/pyroapp-docs/tutorial-assets/datafiles/examples/Al-Ca-O_var.dat" TargetMode="External" Id="rId1"/><Relationship Type="http://schemas.openxmlformats.org/officeDocument/2006/relationships/hyperlink" Target="https://evnekdev.github.io/pyroapp-docs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PyroApp Example 02 — DAT Inspection and Editing (Al-Ca-O)</t>
        </is>
      </c>
    </row>
    <row r="2" ht="36" customHeight="1">
      <c r="A2" s="2" t="inlineStr">
        <is>
          <t>Browse an open DAT, read compound/constituent parameters, inspect interactions and use a gated SET operation.</t>
        </is>
      </c>
    </row>
    <row r="4">
      <c r="A4" s="3" t="inlineStr">
        <is>
          <t>Before you calculate</t>
        </is>
      </c>
    </row>
    <row r="5">
      <c r="A5" t="inlineStr">
        <is>
          <t>1. Install/load PyroApp in desktop Excel.</t>
        </is>
      </c>
    </row>
    <row r="6">
      <c r="A6" t="inlineStr">
        <is>
          <t>2. Download Al-Ca-O_var.dat and place it beside this workbook.</t>
        </is>
      </c>
    </row>
    <row r="7">
      <c r="A7" t="inlineStr">
        <is>
          <t>3. Blue cells are inputs; black cells are formulas; purple cells are controls.</t>
        </is>
      </c>
    </row>
    <row r="8">
      <c r="A8" t="inlineStr">
        <is>
          <t>4. The workbooks use literal text "" in unused CA_CALCULATE header cells (no leading equals sign).</t>
        </is>
      </c>
    </row>
    <row r="10">
      <c r="A10" t="inlineStr">
        <is>
          <t>Datafile</t>
        </is>
      </c>
      <c r="B10" s="4" t="inlineStr">
        <is>
          <t>Al-Ca-O_var.dat</t>
        </is>
      </c>
    </row>
    <row r="11">
      <c r="A11" t="inlineStr">
        <is>
          <t>Download DAT</t>
        </is>
      </c>
      <c r="B11" s="5" t="inlineStr">
        <is>
          <t>Al-Ca-O_var.dat</t>
        </is>
      </c>
    </row>
    <row r="12">
      <c r="A12" t="inlineStr">
        <is>
          <t>Docs</t>
        </is>
      </c>
      <c r="B12" s="5" t="inlineStr">
        <is>
          <t>PyroApp documentation</t>
        </is>
      </c>
    </row>
    <row r="14">
      <c r="A14" t="inlineStr">
        <is>
          <t>PyroApp status</t>
        </is>
      </c>
      <c r="B14">
        <f>IFERROR(XLL_CA_VERSION(),"PyroApp not loaded")</f>
        <v/>
      </c>
    </row>
  </sheetData>
  <mergeCells count="7">
    <mergeCell ref="A4:H4"/>
    <mergeCell ref="A1:J1"/>
    <mergeCell ref="A7:H7"/>
    <mergeCell ref="A2:J2"/>
    <mergeCell ref="A5:H5"/>
    <mergeCell ref="A8:H8"/>
    <mergeCell ref="A6:H6"/>
  </mergeCells>
  <hyperlinks>
    <hyperlink xmlns:r="http://schemas.openxmlformats.org/officeDocument/2006/relationships" ref="B11" r:id="rId1"/>
    <hyperlink xmlns:r="http://schemas.openxmlformats.org/officeDocument/2006/relationships" ref="B1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Browse an open DAT</t>
        </is>
      </c>
    </row>
    <row r="4">
      <c r="A4" s="6" t="inlineStr">
        <is>
          <t>Components</t>
        </is>
      </c>
      <c r="C4" s="6" t="inlineStr">
        <is>
          <t>Solutions</t>
        </is>
      </c>
      <c r="E4" s="6" t="inlineStr">
        <is>
          <t>Compounds</t>
        </is>
      </c>
      <c r="G4" s="6" t="inlineStr">
        <is>
          <t>Phases</t>
        </is>
      </c>
    </row>
    <row r="5">
      <c r="A5">
        <f>XLL_CA_LIST_COMPONENTS(Start!$B$10)</f>
        <v/>
      </c>
      <c r="C5">
        <f>XLL_CA_LIST_SOLUTIONS(Start!$B$10)</f>
        <v/>
      </c>
      <c r="E5">
        <f>XLL_CA_LIST_COMPOUNDS(Start!$B$10)</f>
        <v/>
      </c>
      <c r="G5">
        <f>XLL_CA_LIST_PHASES(Start!$B$10)</f>
        <v/>
      </c>
    </row>
    <row r="30">
      <c r="A30" s="3" t="inlineStr">
        <is>
          <t>Inspect Slag-liq</t>
        </is>
      </c>
    </row>
    <row r="32">
      <c r="A32" s="6" t="inlineStr">
        <is>
          <t>Constituents</t>
        </is>
      </c>
      <c r="B32">
        <f>XLL_CA_LIST_CONSTITUENTS(Start!$B$10,"Slag-liq")</f>
        <v/>
      </c>
      <c r="D32" s="6" t="inlineStr">
        <is>
          <t>Species</t>
        </is>
      </c>
      <c r="E32">
        <f>XLL_CA_LIST_SPECIES(Start!$B$10,"Slag-liq")</f>
        <v/>
      </c>
      <c r="G32" s="6" t="inlineStr">
        <is>
          <t>G interactions</t>
        </is>
      </c>
      <c r="H32">
        <f>XLL_CA_LIST_INTERACTIONS_G(Start!$B$10,"Slag-liq")</f>
        <v/>
      </c>
    </row>
  </sheetData>
  <mergeCells count="2">
    <mergeCell ref="A1:J1"/>
    <mergeCell ref="A30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Compound parameter lookups</t>
        </is>
      </c>
    </row>
    <row r="4">
      <c r="A4" t="inlineStr">
        <is>
          <t>Phase</t>
        </is>
      </c>
      <c r="B4" s="4" t="inlineStr">
        <is>
          <t>CaO(s)</t>
        </is>
      </c>
    </row>
    <row r="6">
      <c r="A6" t="inlineStr">
        <is>
          <t>H298</t>
        </is>
      </c>
      <c r="B6">
        <f>XLL_CA_GET_COMPOUND_H298(Start!$B$10,$B$4)</f>
        <v/>
      </c>
    </row>
    <row r="7">
      <c r="A7" t="inlineStr">
        <is>
          <t>S298</t>
        </is>
      </c>
      <c r="B7">
        <f>XLL_CA_GET_COMPOUND_S298(Start!$B$10,$B$4)</f>
        <v/>
      </c>
    </row>
    <row r="8">
      <c r="A8" t="inlineStr">
        <is>
          <t>Molar mass</t>
        </is>
      </c>
      <c r="B8">
        <f>XLL_CA_GET_COMPOUND_WEIGHTS(Start!$B$10,$B$4)</f>
        <v/>
      </c>
    </row>
    <row r="9">
      <c r="A9" t="inlineStr">
        <is>
          <t>Stoichiometry</t>
        </is>
      </c>
      <c r="B9">
        <f>XLL_CA_GET_COMPOUND_STOICHIOMETRY(Start!$B$10,$B$4)</f>
        <v/>
      </c>
    </row>
    <row r="10">
      <c r="A10" t="inlineStr">
        <is>
          <t>Range count</t>
        </is>
      </c>
      <c r="B10">
        <f>XLL_CA_GET_COMPOUND_RANGE_COUNT(Start!$B$10,$B$4)</f>
        <v/>
      </c>
    </row>
    <row r="11">
      <c r="A11" t="inlineStr">
        <is>
          <t>Range 1 Tupper</t>
        </is>
      </c>
      <c r="B11">
        <f>XLL_CA_GET_COMPOUND_TUPPER(Start!$B$10,$B$4,1)</f>
        <v/>
      </c>
    </row>
    <row r="12">
      <c r="A12" t="inlineStr">
        <is>
          <t>Range 1 coefficient 1</t>
        </is>
      </c>
      <c r="B12">
        <f>XLL_CA_GET_COMPOUND_CP(Start!$B$10,$B$4,1,1)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Solution-constituent parameter lookups</t>
        </is>
      </c>
    </row>
    <row r="4">
      <c r="A4" t="inlineStr">
        <is>
          <t>Phase</t>
        </is>
      </c>
      <c r="B4" s="4" t="inlineStr">
        <is>
          <t>Slag-liq</t>
        </is>
      </c>
    </row>
    <row r="5">
      <c r="A5" t="inlineStr">
        <is>
          <t>Constituent</t>
        </is>
      </c>
      <c r="B5" s="4" t="inlineStr">
        <is>
          <t>CaO</t>
        </is>
      </c>
    </row>
    <row r="7">
      <c r="A7" t="inlineStr">
        <is>
          <t>H298</t>
        </is>
      </c>
      <c r="B7">
        <f>XLL_CA_GET_CONSTITUENT_H298(Start!$B$10,$B$4,$B$5)</f>
        <v/>
      </c>
    </row>
    <row r="8">
      <c r="A8" t="inlineStr">
        <is>
          <t>S298</t>
        </is>
      </c>
      <c r="B8">
        <f>XLL_CA_GET_CONSTITUENT_S298(Start!$B$10,$B$4,$B$5)</f>
        <v/>
      </c>
    </row>
    <row r="9">
      <c r="A9" t="inlineStr">
        <is>
          <t>Molar mass</t>
        </is>
      </c>
      <c r="B9">
        <f>XLL_CA_GET_CONSTITUENT_WEIGHTS(Start!$B$10,$B$4,$B$5)</f>
        <v/>
      </c>
    </row>
    <row r="10">
      <c r="A10" t="inlineStr">
        <is>
          <t>Stoichiometry</t>
        </is>
      </c>
      <c r="B10">
        <f>XLL_CA_GET_CONSTITUENT_STOICHIOMETRY(Start!$B$10,$B$4,$B$5)</f>
        <v/>
      </c>
    </row>
    <row r="11">
      <c r="A11" t="inlineStr">
        <is>
          <t>Range count</t>
        </is>
      </c>
      <c r="B11">
        <f>XLL_CA_GET_CONSTITUENT_RANGE_COUNT(Start!$B$10,$B$4,$B$5)</f>
        <v/>
      </c>
    </row>
    <row r="12">
      <c r="A12" t="inlineStr">
        <is>
          <t>Range 1 Tupper</t>
        </is>
      </c>
      <c r="B12">
        <f>XLL_CA_GET_CONSTITUENT_TUPPER(Start!$B$10,$B$4,$B$5,1)</f>
        <v/>
      </c>
    </row>
    <row r="13">
      <c r="A13" t="inlineStr">
        <is>
          <t>Range 1 coefficient 1</t>
        </is>
      </c>
      <c r="B13">
        <f>XLL_CA_GET_CONSTITUENT_CP(Start!$B$10,$B$4,$B$5,1,1)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Excess Gibbs-energy interactions</t>
        </is>
      </c>
    </row>
    <row r="4">
      <c r="A4" t="inlineStr">
        <is>
          <t>Phase</t>
        </is>
      </c>
      <c r="B4" s="4" t="inlineStr">
        <is>
          <t>Slag-liq</t>
        </is>
      </c>
    </row>
    <row r="6">
      <c r="A6" s="6" t="inlineStr">
        <is>
          <t>Interaction list</t>
        </is>
      </c>
      <c r="B6">
        <f>XLL_CA_LIST_INTERACTIONS_G(Start!$B$10,$B$4)</f>
        <v/>
      </c>
    </row>
    <row r="22">
      <c r="A22" s="3" t="inlineStr">
        <is>
          <t>Read the first interaction</t>
        </is>
      </c>
    </row>
    <row r="24">
      <c r="A24" t="inlineStr">
        <is>
          <t>Interaction</t>
        </is>
      </c>
      <c r="B24">
        <f>B6</f>
        <v/>
      </c>
    </row>
    <row r="25">
      <c r="A25" t="inlineStr">
        <is>
          <t>Index</t>
        </is>
      </c>
      <c r="B25">
        <f>XLL_CA_GET_INTERACTION_INDICES(Start!$B$10,$B$4,$B$24)</f>
        <v/>
      </c>
    </row>
    <row r="28">
      <c r="B28" s="6" t="inlineStr">
        <is>
          <t>constant</t>
        </is>
      </c>
      <c r="C28" s="6" t="inlineStr">
        <is>
          <t>T</t>
        </is>
      </c>
      <c r="D28" s="6" t="inlineStr">
        <is>
          <t>T ln(T)</t>
        </is>
      </c>
      <c r="E28" s="6" t="inlineStr">
        <is>
          <t>T^2</t>
        </is>
      </c>
      <c r="F28" s="6" t="inlineStr">
        <is>
          <t>T^3</t>
        </is>
      </c>
      <c r="G28" s="6" t="inlineStr">
        <is>
          <t>1/T</t>
        </is>
      </c>
    </row>
    <row r="29">
      <c r="B29">
        <f>XLL_CA_GET_INTERACTION_PARAMETERS_G(Start!$B$10,$B$4,$B$24,0)</f>
        <v/>
      </c>
    </row>
  </sheetData>
  <mergeCells count="2">
    <mergeCell ref="A1:J1"/>
    <mergeCell ref="A22:G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Gated SET example</t>
        </is>
      </c>
    </row>
    <row r="4">
      <c r="A4" s="7" t="inlineStr">
        <is>
          <t>SET modifies the DAT file. Leave Enable SET = FALSE until you intentionally want to write the Proposed value. Keep an untouched reference DAT.</t>
        </is>
      </c>
    </row>
    <row r="8">
      <c r="A8" t="inlineStr">
        <is>
          <t>Phase</t>
        </is>
      </c>
      <c r="B8" s="4" t="inlineStr">
        <is>
          <t>Slag-liq</t>
        </is>
      </c>
    </row>
    <row r="9">
      <c r="A9" t="inlineStr">
        <is>
          <t>Interaction</t>
        </is>
      </c>
      <c r="B9">
        <f>Interactions!B24</f>
        <v/>
      </c>
    </row>
    <row r="10">
      <c r="A10" t="inlineStr">
        <is>
          <t>Value index</t>
        </is>
      </c>
      <c r="B10" s="4" t="n">
        <v>1</v>
      </c>
    </row>
    <row r="11">
      <c r="A11" t="inlineStr">
        <is>
          <t>Current value</t>
        </is>
      </c>
      <c r="B11">
        <f>XLL_CA_GET_INTERACTION_PARAMETERS_G(Start!$B$10,$B$8,$B$9,$B$10,$B$13)</f>
        <v/>
      </c>
    </row>
    <row r="12">
      <c r="A12" t="inlineStr">
        <is>
          <t>Proposed value</t>
        </is>
      </c>
      <c r="B12" s="4">
        <f>B11</f>
        <v/>
      </c>
    </row>
    <row r="13">
      <c r="A13" t="inlineStr">
        <is>
          <t>Update token</t>
        </is>
      </c>
      <c r="B13" s="8" t="n">
        <v>0</v>
      </c>
    </row>
    <row r="14">
      <c r="A14" t="inlineStr">
        <is>
          <t>Enable SET</t>
        </is>
      </c>
      <c r="B14" s="8" t="b">
        <v>0</v>
      </c>
    </row>
    <row r="16">
      <c r="A16" t="inlineStr">
        <is>
          <t>SET result</t>
        </is>
      </c>
      <c r="B16">
        <f>IF($B$14,XLL_CA_SET_INTERACTION_PARAMETERS_G(Start!$B$10,$B$8,$B$9,$B$10,$B$12,$B$13),"Disabled")</f>
        <v/>
      </c>
    </row>
    <row r="19">
      <c r="A19" s="9" t="inlineStr">
        <is>
          <t>Typical use: read Current value, replace Proposed value with a number, enable SET, increment Update token, then disable SET and recalculate dependent calculations.</t>
        </is>
      </c>
    </row>
  </sheetData>
  <mergeCells count="3">
    <mergeCell ref="A19:F19"/>
    <mergeCell ref="A1:J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2026-09-23T05:45:01Z</dcterms:created>
  <dcterms:modified xmlns:dcterms="http://purl.org/dc/terms/" xmlns:xsi="http://www.w3.org/2001/XMLSchema-instance" xsi:type="dcterms:W3CDTF">2026-09-23T05:45:01Z</dcterms:modified>
</cp:coreProperties>
</file>