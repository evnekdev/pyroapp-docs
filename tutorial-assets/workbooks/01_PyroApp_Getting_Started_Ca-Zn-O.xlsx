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WORK\Code\Rust\pyroapp-docs\docs\tutorial-assets\workbooks\"/>
    </mc:Choice>
  </mc:AlternateContent>
  <xr:revisionPtr revIDLastSave="0" documentId="13_ncr:1_{90D475CB-6AB7-4BD1-BF4B-CBA66AF118F4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Start" sheetId="1" r:id="rId1"/>
    <sheet name="Runtime" sheetId="2" r:id="rId2"/>
    <sheet name="Explore" sheetId="3" r:id="rId3"/>
    <sheet name="Basis + utilities" sheetId="4" r:id="rId4"/>
    <sheet name="First equilibrium" sheetId="5" r:id="rId5"/>
    <sheet name="Equilibrium" sheetId="6" r:id="rId6"/>
    <sheet name="Temperature sweep" sheetId="7" r:id="rId7"/>
    <sheet name="Phase selection" sheetId="8" r:id="rId8"/>
    <sheet name="Phase target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 a="1"/>
  <c r="H7" i="8" a="1"/>
  <c r="H7" i="7" a="1"/>
  <c r="H7" i="6" a="1"/>
  <c r="H7" i="5" a="1"/>
  <c r="E44" i="4" a="1"/>
  <c r="E37" i="4" a="1"/>
  <c r="E30" i="4" a="1"/>
  <c r="D14" i="4" a="1"/>
  <c r="I9" i="4" a="1"/>
  <c r="E7" i="4" a="1"/>
  <c r="B30" i="3" a="1"/>
  <c r="B29" i="3" a="1"/>
  <c r="B28" i="3" a="1"/>
  <c r="K5" i="3" a="1"/>
  <c r="I5" i="3" a="1"/>
  <c r="G5" i="3" a="1"/>
  <c r="E5" i="3" a="1"/>
  <c r="C5" i="3" a="1"/>
  <c r="A5" i="3" a="1"/>
  <c r="B12" i="2" a="1"/>
  <c r="B11" i="2" a="1"/>
  <c r="B10" i="2" a="1"/>
  <c r="B9" i="2" a="1"/>
  <c r="B8" i="2" a="1"/>
  <c r="B7" i="2" a="1"/>
  <c r="B6" i="2" a="1"/>
  <c r="B5" i="2" a="1"/>
  <c r="B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<sst xmlns="http://schemas.openxmlformats.org/spreadsheetml/2006/main" count="266" uniqueCount="86">
  <si>
    <t>PyroApp Example 01 — Getting Started (Ca-Zn-O)</t>
  </si>
  <si>
    <t>Runtime checks, DAT discovery, basis conversion, mesh generation, equilibrium tables, sweeps and phase targets.</t>
  </si>
  <si>
    <t>Before you calculate</t>
  </si>
  <si>
    <t>1. Install/load PyroApp in desktop Excel.</t>
  </si>
  <si>
    <t>2. Download Ca-Zn-O.dat and place it beside this workbook.</t>
  </si>
  <si>
    <t>3. Blue cells are inputs; black cells are formulas; purple cells are controls.</t>
  </si>
  <si>
    <t>4. The workbooks use literal text "" in unused CA_CALCULATE header cells (no leading equals sign).</t>
  </si>
  <si>
    <t>Datafile</t>
  </si>
  <si>
    <t>Ca-Zn-O.dat</t>
  </si>
  <si>
    <t>Download DAT</t>
  </si>
  <si>
    <t>Docs</t>
  </si>
  <si>
    <t>PyroApp documentation</t>
  </si>
  <si>
    <t>PyroApp status</t>
  </si>
  <si>
    <t>Runtime and licence information</t>
  </si>
  <si>
    <t>Version</t>
  </si>
  <si>
    <t>Lite?</t>
  </si>
  <si>
    <t>User ID</t>
  </si>
  <si>
    <t>Licence holder</t>
  </si>
  <si>
    <t>Program ID</t>
  </si>
  <si>
    <t>Maximum dimensions</t>
  </si>
  <si>
    <t>DLLs</t>
  </si>
  <si>
    <t>DAT dimensions</t>
  </si>
  <si>
    <t>Explore the datafile</t>
  </si>
  <si>
    <t>LIST functions return exact DAT identities.</t>
  </si>
  <si>
    <t>Components</t>
  </si>
  <si>
    <t>Phases</t>
  </si>
  <si>
    <t>Solutions</t>
  </si>
  <si>
    <t>Compounds</t>
  </si>
  <si>
    <t>Slag-liq constituents</t>
  </si>
  <si>
    <t>Slag-liq species</t>
  </si>
  <si>
    <t>Direct property lookups</t>
  </si>
  <si>
    <t>Zn molar mass</t>
  </si>
  <si>
    <t>Ca molar mass</t>
  </si>
  <si>
    <t>ZnO(s) H298</t>
  </si>
  <si>
    <t>Composition-basis lab and mesh generation</t>
  </si>
  <si>
    <t>Each block has one clearly labelled conversion. Blue cells are inputs; the selected formula cell spills the converted composition.</t>
  </si>
  <si>
    <t>1. One molar-fraction row: CaO + ZnO → elemental Ca, Zn, O</t>
  </si>
  <si>
    <t>Uniform simplex mesh</t>
  </si>
  <si>
    <t>CaO</t>
  </si>
  <si>
    <t>ZnO</t>
  </si>
  <si>
    <t>Ca</t>
  </si>
  <si>
    <t>Zn</t>
  </si>
  <si>
    <t>O</t>
  </si>
  <si>
    <t>nintervals</t>
  </si>
  <si>
    <t>nactive</t>
  </si>
  <si>
    <t>Input mole fractions</t>
  </si>
  <si>
    <t>Normalized elemental mole fractions</t>
  </si>
  <si>
    <t>ntotal</t>
  </si>
  <si>
    <t>2. Multiple molar-fraction rows: CaO + ZnO → elemental fractions</t>
  </si>
  <si>
    <t>Input row</t>
  </si>
  <si>
    <t>3. Molar amounts: CaO + ZnO → elemental Ca, Zn, O amounts</t>
  </si>
  <si>
    <t>Formula-unit amounts (mol)</t>
  </si>
  <si>
    <t>Element amounts (mol)</t>
  </si>
  <si>
    <t>4. Mass amounts: CaO + ZnO → elemental mole amounts (not normalized)</t>
  </si>
  <si>
    <t>Mass amounts (g)</t>
  </si>
  <si>
    <t>5. Molar amounts: CaO + ZnO → normalized mass fractions</t>
  </si>
  <si>
    <t>Element mass fractions</t>
  </si>
  <si>
    <t>First equilibrium calculation</t>
  </si>
  <si>
    <t>One 50:50 CaO-ZnO composition at 1200 °C and 1 bar. The grey header rows use literal text "" where a phase or component is not needed.</t>
  </si>
  <si>
    <t>T, [C]</t>
  </si>
  <si>
    <t>P, [bar]</t>
  </si>
  <si>
    <t>IA</t>
  </si>
  <si>
    <t>A</t>
  </si>
  <si>
    <t>ERROR</t>
  </si>
  <si>
    <t>NSTABLE</t>
  </si>
  <si>
    <t>""</t>
  </si>
  <si>
    <t>Slag-liq</t>
  </si>
  <si>
    <t>Monoxide</t>
  </si>
  <si>
    <t>Zincite</t>
  </si>
  <si>
    <t>Select H7 to read the complete formula in Excel’s Formula Bar. A zero ERROR result means the row solved successfully.</t>
  </si>
  <si>
    <t>Equilibrium table</t>
  </si>
  <si>
    <t>Eleven independent CaO-ZnO compositions at 1200 °C and 1 bar.</t>
  </si>
  <si>
    <t>XP</t>
  </si>
  <si>
    <t>Temperature sweep</t>
  </si>
  <si>
    <t>50:50 CaO-ZnO from 700 to 1800 °C.</t>
  </si>
  <si>
    <t>Phase selection</t>
  </si>
  <si>
    <t>The optional entered-phase range makes the selection explicit before the calculation is solved.</t>
  </si>
  <si>
    <t>Entered phases</t>
  </si>
  <si>
    <t>The entered range is intentionally visible. Change its phase names only when the physical model justifies restricting the phase set.</t>
  </si>
  <si>
    <t>Formation-temperature target</t>
  </si>
  <si>
    <t>Solve T for Monoxide formation rather than scanning temperature.</t>
  </si>
  <si>
    <t>FORMATION</t>
  </si>
  <si>
    <t>TLOW</t>
  </si>
  <si>
    <t>THIGH</t>
  </si>
  <si>
    <t>AC</t>
  </si>
  <si>
    <t>This teaching target deliberately restricts the entered phases to Slag-liq + Monoxide. Real phase selection must match the physical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</si>
</sst>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u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0" fillId="4" borderId="1" xfId="0" applyFill="1" applyBorder="1"/>
    <xf numFmtId="0" fontId="2" fillId="2" borderId="1" xfId="0" applyFont="1" applyFill="1" applyBorder="1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Phase amounts at 1200 °C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Slag-liq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Equilibrium!$D$7:$D$17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Equilibrium!$I$7:$I$17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FA-4968-B318-B31CD086E189}"/>
            </c:ext>
          </c:extLst>
        </c:ser>
        <c:ser>
          <c:idx val="1"/>
          <c:order val="1"/>
          <c:tx>
            <c:v>Monoxide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Equilibrium!$D$7:$D$17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Equilibrium!$J$7:$J$17</c:f>
              <c:numCache>
                <c:formatCode>General</c:formatCode>
                <c:ptCount val="11"/>
                <c:pt idx="0">
                  <c:v>0</c:v>
                </c:pt>
                <c:pt idx="1">
                  <c:v>8.6605725659388191E-2</c:v>
                </c:pt>
                <c:pt idx="2">
                  <c:v>0.19283684430897097</c:v>
                </c:pt>
                <c:pt idx="3">
                  <c:v>0.29906796296618421</c:v>
                </c:pt>
                <c:pt idx="4">
                  <c:v>0.40529908161445466</c:v>
                </c:pt>
                <c:pt idx="5">
                  <c:v>0.51153020028808194</c:v>
                </c:pt>
                <c:pt idx="6">
                  <c:v>0.61776131894672381</c:v>
                </c:pt>
                <c:pt idx="7">
                  <c:v>0.72399243761148224</c:v>
                </c:pt>
                <c:pt idx="8">
                  <c:v>0.83022355625791655</c:v>
                </c:pt>
                <c:pt idx="9">
                  <c:v>0.93645467491579004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FA-4968-B318-B31CD086E189}"/>
            </c:ext>
          </c:extLst>
        </c:ser>
        <c:ser>
          <c:idx val="2"/>
          <c:order val="2"/>
          <c:tx>
            <c:v>Zincite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Equilibrium!$D$7:$D$17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Equilibrium!$K$7:$K$17</c:f>
              <c:numCache>
                <c:formatCode>General</c:formatCode>
                <c:ptCount val="11"/>
                <c:pt idx="0">
                  <c:v>1</c:v>
                </c:pt>
                <c:pt idx="1">
                  <c:v>0.9133942743406086</c:v>
                </c:pt>
                <c:pt idx="2">
                  <c:v>0.8071631556910206</c:v>
                </c:pt>
                <c:pt idx="3">
                  <c:v>0.70093203703382267</c:v>
                </c:pt>
                <c:pt idx="4">
                  <c:v>0.59470091838554229</c:v>
                </c:pt>
                <c:pt idx="5">
                  <c:v>0.48846979971192311</c:v>
                </c:pt>
                <c:pt idx="6">
                  <c:v>0.38223868105328723</c:v>
                </c:pt>
                <c:pt idx="7">
                  <c:v>0.27600756238852792</c:v>
                </c:pt>
                <c:pt idx="8">
                  <c:v>0.16977644374207795</c:v>
                </c:pt>
                <c:pt idx="9">
                  <c:v>6.3545325084201923E-2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BFA-4968-B318-B31CD086E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CaO fraction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Phase amounts vs temperature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Slag-liq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'Temperature sweep'!$H$7:$H$18</c:f>
              <c:numCache>
                <c:formatCode>General</c:formatCode>
                <c:ptCount val="12"/>
                <c:pt idx="0">
                  <c:v>700</c:v>
                </c:pt>
                <c:pt idx="1">
                  <c:v>800.00000000000011</c:v>
                </c:pt>
                <c:pt idx="2">
                  <c:v>900.00000000000011</c:v>
                </c:pt>
                <c:pt idx="3">
                  <c:v>1000.0000000000001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1500</c:v>
                </c:pt>
                <c:pt idx="9">
                  <c:v>1600</c:v>
                </c:pt>
                <c:pt idx="10">
                  <c:v>1700</c:v>
                </c:pt>
                <c:pt idx="11">
                  <c:v>1800</c:v>
                </c:pt>
              </c:numCache>
            </c:numRef>
          </c:cat>
          <c:val>
            <c:numRef>
              <c:f>'Temperature sweep'!$I$7:$I$18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0.72453374924406544</c:v>
                </c:pt>
                <c:pt idx="10">
                  <c:v>0.79151193188280511</c:v>
                </c:pt>
                <c:pt idx="11">
                  <c:v>0.8584282743405135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E1-4FA6-8A30-45BE9D5B19CC}"/>
            </c:ext>
          </c:extLst>
        </c:ser>
        <c:ser>
          <c:idx val="1"/>
          <c:order val="1"/>
          <c:tx>
            <c:v>Monoxide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'Temperature sweep'!$H$7:$H$18</c:f>
              <c:numCache>
                <c:formatCode>General</c:formatCode>
                <c:ptCount val="12"/>
                <c:pt idx="0">
                  <c:v>700</c:v>
                </c:pt>
                <c:pt idx="1">
                  <c:v>800.00000000000011</c:v>
                </c:pt>
                <c:pt idx="2">
                  <c:v>900.00000000000011</c:v>
                </c:pt>
                <c:pt idx="3">
                  <c:v>1000.0000000000001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1500</c:v>
                </c:pt>
                <c:pt idx="9">
                  <c:v>1600</c:v>
                </c:pt>
                <c:pt idx="10">
                  <c:v>1700</c:v>
                </c:pt>
                <c:pt idx="11">
                  <c:v>1800</c:v>
                </c:pt>
              </c:numCache>
            </c:numRef>
          </c:cat>
          <c:val>
            <c:numRef>
              <c:f>'Temperature sweep'!$J$7:$J$18</c:f>
              <c:numCache>
                <c:formatCode>General</c:formatCode>
                <c:ptCount val="12"/>
                <c:pt idx="0">
                  <c:v>0.50012442787593647</c:v>
                </c:pt>
                <c:pt idx="1">
                  <c:v>0.50044167515763394</c:v>
                </c:pt>
                <c:pt idx="2">
                  <c:v>0.50119634180105033</c:v>
                </c:pt>
                <c:pt idx="3">
                  <c:v>0.50277512662685908</c:v>
                </c:pt>
                <c:pt idx="4">
                  <c:v>0.50583612582514825</c:v>
                </c:pt>
                <c:pt idx="5">
                  <c:v>0.51153020028808194</c:v>
                </c:pt>
                <c:pt idx="6">
                  <c:v>0.52196891409719903</c:v>
                </c:pt>
                <c:pt idx="7">
                  <c:v>0.54122053713720264</c:v>
                </c:pt>
                <c:pt idx="8">
                  <c:v>0.57677398723726414</c:v>
                </c:pt>
                <c:pt idx="9">
                  <c:v>0.27546625075592224</c:v>
                </c:pt>
                <c:pt idx="10">
                  <c:v>0.20848806811719944</c:v>
                </c:pt>
                <c:pt idx="11">
                  <c:v>0.14157172565948933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E1-4FA6-8A30-45BE9D5B19CC}"/>
            </c:ext>
          </c:extLst>
        </c:ser>
        <c:ser>
          <c:idx val="2"/>
          <c:order val="2"/>
          <c:tx>
            <c:v>Zincite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'Temperature sweep'!$H$7:$H$18</c:f>
              <c:numCache>
                <c:formatCode>General</c:formatCode>
                <c:ptCount val="12"/>
                <c:pt idx="0">
                  <c:v>700</c:v>
                </c:pt>
                <c:pt idx="1">
                  <c:v>800.00000000000011</c:v>
                </c:pt>
                <c:pt idx="2">
                  <c:v>900.00000000000011</c:v>
                </c:pt>
                <c:pt idx="3">
                  <c:v>1000.0000000000001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1500</c:v>
                </c:pt>
                <c:pt idx="9">
                  <c:v>1600</c:v>
                </c:pt>
                <c:pt idx="10">
                  <c:v>1700</c:v>
                </c:pt>
                <c:pt idx="11">
                  <c:v>1800</c:v>
                </c:pt>
              </c:numCache>
            </c:numRef>
          </c:cat>
          <c:val>
            <c:numRef>
              <c:f>'Temperature sweep'!$K$7:$K$18</c:f>
              <c:numCache>
                <c:formatCode>General</c:formatCode>
                <c:ptCount val="12"/>
                <c:pt idx="0">
                  <c:v>0.49987557212407024</c:v>
                </c:pt>
                <c:pt idx="1">
                  <c:v>0.49955832484237611</c:v>
                </c:pt>
                <c:pt idx="2">
                  <c:v>0.49880365819893813</c:v>
                </c:pt>
                <c:pt idx="3">
                  <c:v>0.49722487337314669</c:v>
                </c:pt>
                <c:pt idx="4">
                  <c:v>0.49416387417485447</c:v>
                </c:pt>
                <c:pt idx="5">
                  <c:v>0.48846979971192311</c:v>
                </c:pt>
                <c:pt idx="6">
                  <c:v>0.47803108590279886</c:v>
                </c:pt>
                <c:pt idx="7">
                  <c:v>0.45877946286280075</c:v>
                </c:pt>
                <c:pt idx="8">
                  <c:v>0.42322601276273908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E1-4FA6-8A30-45BE9D5B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Temperature [°C]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10</v>
    <v>1</v>
  </rv>
  <rv s="0">
    <v>0</v>
    <v>8</v>
    <v>17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vnekdev.github.io/pyroapp-docs/" TargetMode="External"/><Relationship Id="rId1" Type="http://schemas.openxmlformats.org/officeDocument/2006/relationships/hyperlink" Target="https://evnekdev.github.io/pyroapp-docs/tutorial-assets/datafiles/examples/Ca-Zn-O.da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sqref="A1:J1"/>
    </sheetView>
  </sheetViews>
  <sheetFormatPr defaultRowHeight="14.5" x14ac:dyDescent="0.35"/>
  <cols>
    <col min="1" max="1" width="13.7265625" bestFit="1" customWidth="1"/>
    <col min="2" max="2" width="21.90625" bestFit="1" customWidth="1"/>
    <col min="3" max="10" width="18" customWidth="1"/>
  </cols>
  <sheetData>
    <row r="1" spans="1:10" ht="23.5" customHeight="1" x14ac:dyDescent="0.5500000000000000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42" customHeight="1" x14ac:dyDescent="0.35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35">
      <c r="A4" s="6" t="s">
        <v>2</v>
      </c>
      <c r="B4" s="7"/>
      <c r="C4" s="7"/>
      <c r="D4" s="7"/>
      <c r="E4" s="7"/>
      <c r="F4" s="7"/>
      <c r="G4" s="7"/>
      <c r="H4" s="7"/>
    </row>
    <row r="5" spans="1:10" x14ac:dyDescent="0.35">
      <c r="A5" s="9" t="s">
        <v>3</v>
      </c>
      <c r="B5" s="7"/>
      <c r="C5" s="7"/>
      <c r="D5" s="7"/>
      <c r="E5" s="7"/>
      <c r="F5" s="7"/>
      <c r="G5" s="7"/>
      <c r="H5" s="7"/>
    </row>
    <row r="6" spans="1:10" x14ac:dyDescent="0.35">
      <c r="A6" s="9" t="s">
        <v>4</v>
      </c>
      <c r="B6" s="7"/>
      <c r="C6" s="7"/>
      <c r="D6" s="7"/>
      <c r="E6" s="7"/>
      <c r="F6" s="7"/>
      <c r="G6" s="7"/>
      <c r="H6" s="7"/>
    </row>
    <row r="7" spans="1:10" x14ac:dyDescent="0.35">
      <c r="A7" s="9" t="s">
        <v>5</v>
      </c>
      <c r="B7" s="7"/>
      <c r="C7" s="7"/>
      <c r="D7" s="7"/>
      <c r="E7" s="7"/>
      <c r="F7" s="7"/>
      <c r="G7" s="7"/>
      <c r="H7" s="7"/>
    </row>
    <row r="8" spans="1:10" x14ac:dyDescent="0.35">
      <c r="A8" s="9" t="s">
        <v>6</v>
      </c>
      <c r="B8" s="7"/>
      <c r="C8" s="7"/>
      <c r="D8" s="7"/>
      <c r="E8" s="7"/>
      <c r="F8" s="7"/>
      <c r="G8" s="7"/>
      <c r="H8" s="7"/>
    </row>
    <row r="10" spans="1:10" x14ac:dyDescent="0.35">
      <c r="A10" s="1" t="s">
        <v>7</v>
      </c>
      <c r="B10" s="2" t="s">
        <v>8</v>
      </c>
    </row>
    <row r="11" spans="1:10" x14ac:dyDescent="0.35">
      <c r="A11" s="1" t="s">
        <v>9</v>
      </c>
      <c r="B11" s="3" t="s">
        <v>8</v>
      </c>
    </row>
    <row r="12" spans="1:10" x14ac:dyDescent="0.35">
      <c r="A12" s="1" t="s">
        <v>10</v>
      </c>
      <c r="B12" s="3" t="s">
        <v>11</v>
      </c>
    </row>
    <row r="14" spans="1:10" x14ac:dyDescent="0.35">
      <c r="A14" s="1" t="s">
        <v>12</v>
      </c>
      <c r="B14" s="1">
        <f>IFERROR(_xll.XLL_CA_VERSION(),"PyroApp not loaded")</f>
        <v>714</v>
      </c>
    </row>
  </sheetData>
  <mergeCells count="7">
    <mergeCell ref="A8:H8"/>
    <mergeCell ref="A6:H6"/>
    <mergeCell ref="A4:H4"/>
    <mergeCell ref="A1:J1"/>
    <mergeCell ref="A7:H7"/>
    <mergeCell ref="A2:J2"/>
    <mergeCell ref="A5:H5"/>
  </mergeCells>
  <hyperlinks>
    <hyperlink ref="B11" r:id="rId1" xr:uid="{00000000-0004-0000-0000-000000000000}"/>
    <hyperlink ref="B1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/>
  </sheetViews>
  <sheetFormatPr defaultRowHeight="14.5" x14ac:dyDescent="0.35"/>
  <cols>
    <col min="1" max="1" width="19.90625" bestFit="1" customWidth="1"/>
    <col min="2" max="2" width="26.54296875" bestFit="1" customWidth="1"/>
    <col min="3" max="3" width="2.81640625" bestFit="1" customWidth="1"/>
    <col min="4" max="16" width="18" customWidth="1"/>
  </cols>
  <sheetData>
    <row r="1" spans="1:10" ht="23.5" customHeight="1" x14ac:dyDescent="0.55000000000000004">
      <c r="A1" s="8" t="s">
        <v>13</v>
      </c>
      <c r="B1" s="7"/>
      <c r="C1" s="7"/>
      <c r="D1" s="7"/>
      <c r="E1" s="7"/>
      <c r="F1" s="7"/>
      <c r="G1" s="7"/>
      <c r="H1" s="7"/>
      <c r="I1" s="7"/>
      <c r="J1" s="7"/>
    </row>
    <row r="5" spans="1:10" x14ac:dyDescent="0.35">
      <c r="A5" s="1" t="s">
        <v>14</v>
      </c>
      <c r="B5" s="1" cm="1">
        <f t="array" ref="B5">_xll.XLL_CA_VERSION()</f>
        <v>714</v>
      </c>
    </row>
    <row r="6" spans="1:10" x14ac:dyDescent="0.35">
      <c r="A6" s="1" t="s">
        <v>15</v>
      </c>
      <c r="B6" s="1" t="b" cm="1">
        <f t="array" ref="B6">_xll.XLL_CA_ISLITE()</f>
        <v>0</v>
      </c>
    </row>
    <row r="7" spans="1:10" x14ac:dyDescent="0.35">
      <c r="A7" s="1" t="s">
        <v>16</v>
      </c>
      <c r="B7" s="1" t="str" cm="1">
        <f t="array" ref="B7">_xll.XLL_CA_USER_ID()</f>
        <v>0040</v>
      </c>
    </row>
    <row r="8" spans="1:10" x14ac:dyDescent="0.35">
      <c r="A8" s="1" t="s">
        <v>17</v>
      </c>
      <c r="B8" s="1" t="str" cm="1">
        <f t="array" ref="B8">_xll.XLL_CA_LICENSE_HOLDER_NAME()</f>
        <v>University</v>
      </c>
    </row>
    <row r="9" spans="1:10" x14ac:dyDescent="0.35">
      <c r="A9" s="1" t="s">
        <v>18</v>
      </c>
      <c r="B9" s="1" t="str" cm="1">
        <f t="array" ref="B9">_xll.XLL_CA_PROGRAM_ID()</f>
        <v>CAFU</v>
      </c>
    </row>
    <row r="10" spans="1:10" x14ac:dyDescent="0.35">
      <c r="A10" s="1" t="s">
        <v>19</v>
      </c>
      <c r="B10" s="1" t="e" cm="1" vm="1">
        <f t="array" aca="1" ref="B10" ca="1">_xll.XLL_CA_DIMENSIONS_MAX()</f>
        <v>#VALUE!</v>
      </c>
    </row>
    <row r="11" spans="1:10" x14ac:dyDescent="0.35">
      <c r="A11" s="1" t="s">
        <v>20</v>
      </c>
      <c r="B11" s="1" t="e" cm="1" vm="2">
        <f t="array" aca="1" ref="B11" ca="1">_xll.XLL_CA_CHEMAPPDLLS()</f>
        <v>#VALUE!</v>
      </c>
    </row>
    <row r="12" spans="1:10" x14ac:dyDescent="0.35">
      <c r="A12" s="1" t="s">
        <v>21</v>
      </c>
      <c r="B12" s="1" t="str" cm="1">
        <f t="array" ref="B12:C14">_xll.XLL_CA_DIMENSIONS(Start!$B$10)</f>
        <v>number_system_components</v>
      </c>
      <c r="C12">
        <v>3</v>
      </c>
    </row>
    <row r="13" spans="1:10" x14ac:dyDescent="0.35">
      <c r="B13" t="str">
        <v>number_phases</v>
      </c>
      <c r="C13">
        <v>10</v>
      </c>
    </row>
    <row r="14" spans="1:10" x14ac:dyDescent="0.35">
      <c r="B14" t="str">
        <v>number_phase_constituents</v>
      </c>
      <c r="C14">
        <v>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workbookViewId="0"/>
  </sheetViews>
  <sheetFormatPr defaultRowHeight="14.5" x14ac:dyDescent="0.35"/>
  <cols>
    <col min="1" max="1" width="13.08984375" bestFit="1" customWidth="1"/>
    <col min="2" max="2" width="6.81640625" bestFit="1" customWidth="1"/>
    <col min="3" max="3" width="16.453125" bestFit="1" customWidth="1"/>
    <col min="4" max="4" width="28" customWidth="1"/>
    <col min="5" max="5" width="9.54296875" bestFit="1" customWidth="1"/>
    <col min="6" max="6" width="28" customWidth="1"/>
    <col min="7" max="7" width="16.453125" bestFit="1" customWidth="1"/>
    <col min="8" max="8" width="28" customWidth="1"/>
    <col min="9" max="9" width="4.36328125" bestFit="1" customWidth="1"/>
    <col min="10" max="10" width="34" customWidth="1"/>
    <col min="11" max="11" width="3.90625" bestFit="1" customWidth="1"/>
    <col min="12" max="12" width="1.90625" bestFit="1" customWidth="1"/>
  </cols>
  <sheetData>
    <row r="1" spans="1:12" ht="23.5" customHeight="1" x14ac:dyDescent="0.55000000000000004">
      <c r="A1" s="8" t="s">
        <v>22</v>
      </c>
      <c r="B1" s="7"/>
      <c r="C1" s="7"/>
      <c r="D1" s="7"/>
      <c r="E1" s="7"/>
      <c r="F1" s="7"/>
      <c r="G1" s="7"/>
      <c r="H1" s="7"/>
      <c r="I1" s="7"/>
      <c r="J1" s="7"/>
    </row>
    <row r="2" spans="1:12" ht="42" customHeight="1" x14ac:dyDescent="0.35">
      <c r="A2" s="10" t="s">
        <v>23</v>
      </c>
      <c r="B2" s="7"/>
      <c r="C2" s="7"/>
      <c r="D2" s="7"/>
      <c r="E2" s="7"/>
      <c r="F2" s="7"/>
      <c r="G2" s="7"/>
      <c r="H2" s="7"/>
      <c r="I2" s="7"/>
      <c r="J2" s="7"/>
    </row>
    <row r="4" spans="1:12" ht="101.5" customHeight="1" x14ac:dyDescent="0.35">
      <c r="A4" s="4" t="s">
        <v>24</v>
      </c>
      <c r="C4" s="4" t="s">
        <v>25</v>
      </c>
      <c r="E4" s="4" t="s">
        <v>26</v>
      </c>
      <c r="G4" s="4" t="s">
        <v>27</v>
      </c>
      <c r="I4" s="4" t="s">
        <v>28</v>
      </c>
      <c r="K4" s="4" t="s">
        <v>29</v>
      </c>
    </row>
    <row r="5" spans="1:12" x14ac:dyDescent="0.35">
      <c r="A5" s="1" t="str" cm="1">
        <f t="array" ref="A5:A7">_xll.XLL_CA_LIST_COMPONENTS(Start!$B$10)</f>
        <v>Zn</v>
      </c>
      <c r="C5" s="1" t="str" cm="1">
        <f t="array" ref="C5:C14">_xll.XLL_CA_LIST_PHASES(Start!$B$10)</f>
        <v>Slag-liq</v>
      </c>
      <c r="E5" s="1" t="str" cm="1">
        <f t="array" ref="E5:E7">_xll.XLL_CA_LIST_SOLUTIONS(Start!$B$10)</f>
        <v>Slag-liq</v>
      </c>
      <c r="G5" s="1" t="str" cm="1">
        <f t="array" ref="G5:G11">_xll.XLL_CA_LIST_COMPOUNDS(Start!$B$10)</f>
        <v>CaO_Lime(s)</v>
      </c>
      <c r="I5" s="1" t="str" cm="1">
        <f t="array" ref="I5:I6">_xll.XLL_CA_LIST_CONSTITUENTS(Start!$B$10,"Slag-liq")</f>
        <v>CaO</v>
      </c>
      <c r="K5" s="1" t="str" cm="1">
        <f t="array" ref="K5:L7">_xll.XLL_CA_LIST_SPECIES(Start!$B$10,"Slag-liq")</f>
        <v xml:space="preserve"> Ca</v>
      </c>
      <c r="L5">
        <v>1</v>
      </c>
    </row>
    <row r="6" spans="1:12" x14ac:dyDescent="0.35">
      <c r="A6" t="str">
        <v>Ca</v>
      </c>
      <c r="C6" t="str">
        <v>Monoxide</v>
      </c>
      <c r="E6" t="str">
        <v>Monoxide</v>
      </c>
      <c r="G6" t="str">
        <v>ZnO_Zincite(s)</v>
      </c>
      <c r="I6" t="str">
        <v>ZnO</v>
      </c>
      <c r="K6" t="str">
        <v>Zn</v>
      </c>
      <c r="L6">
        <v>1</v>
      </c>
    </row>
    <row r="7" spans="1:12" x14ac:dyDescent="0.35">
      <c r="A7" t="str">
        <v>O</v>
      </c>
      <c r="C7" t="str">
        <v>Zincite</v>
      </c>
      <c r="E7" t="str">
        <v>Zincite</v>
      </c>
      <c r="G7" t="str">
        <v>O2(g)</v>
      </c>
      <c r="K7" t="str">
        <v>O</v>
      </c>
      <c r="L7">
        <v>2</v>
      </c>
    </row>
    <row r="8" spans="1:12" x14ac:dyDescent="0.35">
      <c r="C8" t="str">
        <v>CaO_Lime(s)</v>
      </c>
      <c r="G8" t="str">
        <v>Ca_Solid_Alpha(s)</v>
      </c>
    </row>
    <row r="9" spans="1:12" x14ac:dyDescent="0.35">
      <c r="C9" t="str">
        <v>ZnO_Zincite(s)</v>
      </c>
      <c r="G9" t="str">
        <v>Zn_solid(s)</v>
      </c>
    </row>
    <row r="10" spans="1:12" x14ac:dyDescent="0.35">
      <c r="C10" t="str">
        <v>O2(g)</v>
      </c>
      <c r="G10" t="str">
        <v>CaO(s)</v>
      </c>
    </row>
    <row r="11" spans="1:12" x14ac:dyDescent="0.35">
      <c r="C11" t="str">
        <v>Ca_Solid_Alpha(s)</v>
      </c>
      <c r="G11" t="str">
        <v>ZnO(s)</v>
      </c>
    </row>
    <row r="12" spans="1:12" x14ac:dyDescent="0.35">
      <c r="C12" t="str">
        <v>Zn_solid(s)</v>
      </c>
    </row>
    <row r="13" spans="1:12" x14ac:dyDescent="0.35">
      <c r="C13" t="str">
        <v>CaO(s)</v>
      </c>
    </row>
    <row r="14" spans="1:12" x14ac:dyDescent="0.35">
      <c r="C14" t="str">
        <v>ZnO(s)</v>
      </c>
    </row>
    <row r="26" spans="1:6" x14ac:dyDescent="0.35">
      <c r="A26" s="6" t="s">
        <v>30</v>
      </c>
      <c r="B26" s="7"/>
      <c r="C26" s="7"/>
      <c r="D26" s="7"/>
      <c r="E26" s="7"/>
      <c r="F26" s="7"/>
    </row>
    <row r="28" spans="1:6" x14ac:dyDescent="0.35">
      <c r="A28" s="1" t="s">
        <v>31</v>
      </c>
      <c r="B28" s="1" cm="1">
        <f t="array" ref="B28">_xll.XLL_CA_GET_COMPONENT_WEIGHTS(Start!$B$10,"Zn")</f>
        <v>65.38</v>
      </c>
    </row>
    <row r="29" spans="1:6" x14ac:dyDescent="0.35">
      <c r="A29" s="1" t="s">
        <v>32</v>
      </c>
      <c r="B29" s="1" cm="1">
        <f t="array" ref="B29">_xll.XLL_CA_GET_COMPONENT_WEIGHTS(Start!$B$10,"Ca")</f>
        <v>40.078000000000003</v>
      </c>
    </row>
    <row r="30" spans="1:6" x14ac:dyDescent="0.35">
      <c r="A30" s="1" t="s">
        <v>33</v>
      </c>
      <c r="B30" s="1" cm="1">
        <f t="array" ref="B30">_xll.XLL_CA_GET_COMPOUND_H298(Start!$B$10,"ZnO(s)")</f>
        <v>0</v>
      </c>
    </row>
  </sheetData>
  <mergeCells count="3">
    <mergeCell ref="A26:F26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5.36328125" bestFit="1" customWidth="1"/>
    <col min="2" max="2" width="6.81640625" bestFit="1" customWidth="1"/>
    <col min="3" max="3" width="5.81640625" bestFit="1" customWidth="1"/>
    <col min="4" max="4" width="33.26953125" bestFit="1" customWidth="1"/>
    <col min="5" max="7" width="11.81640625" bestFit="1" customWidth="1"/>
    <col min="8" max="8" width="18" customWidth="1"/>
    <col min="9" max="9" width="9.36328125" bestFit="1" customWidth="1"/>
    <col min="10" max="11" width="4.81640625" bestFit="1" customWidth="1"/>
    <col min="12" max="16" width="18" customWidth="1"/>
  </cols>
  <sheetData>
    <row r="1" spans="1:12" ht="23.5" customHeight="1" x14ac:dyDescent="0.55000000000000004">
      <c r="A1" s="8" t="s">
        <v>34</v>
      </c>
      <c r="B1" s="7"/>
      <c r="C1" s="7"/>
      <c r="D1" s="7"/>
      <c r="E1" s="7"/>
      <c r="F1" s="7"/>
      <c r="G1" s="7"/>
      <c r="H1" s="7"/>
      <c r="I1" s="7"/>
      <c r="J1" s="7"/>
    </row>
    <row r="2" spans="1:12" ht="42" customHeight="1" x14ac:dyDescent="0.35">
      <c r="A2" s="10" t="s">
        <v>35</v>
      </c>
      <c r="B2" s="7"/>
      <c r="C2" s="7"/>
      <c r="D2" s="7"/>
      <c r="E2" s="7"/>
      <c r="F2" s="7"/>
      <c r="G2" s="7"/>
      <c r="H2" s="7"/>
      <c r="I2" s="7"/>
      <c r="J2" s="7"/>
    </row>
    <row r="4" spans="1:12" x14ac:dyDescent="0.35">
      <c r="A4" s="6" t="s">
        <v>36</v>
      </c>
      <c r="B4" s="7"/>
      <c r="C4" s="7"/>
      <c r="D4" s="7"/>
      <c r="E4" s="7"/>
      <c r="F4" s="7"/>
      <c r="G4" s="7"/>
      <c r="I4" s="11" t="s">
        <v>37</v>
      </c>
      <c r="J4" s="7"/>
      <c r="K4" s="7"/>
      <c r="L4" s="7"/>
    </row>
    <row r="5" spans="1:12" x14ac:dyDescent="0.35">
      <c r="B5" s="4" t="s">
        <v>38</v>
      </c>
      <c r="C5" s="4" t="s">
        <v>39</v>
      </c>
      <c r="E5" s="4" t="s">
        <v>40</v>
      </c>
      <c r="F5" s="4" t="s">
        <v>41</v>
      </c>
      <c r="G5" s="4" t="s">
        <v>42</v>
      </c>
      <c r="I5" s="1" t="s">
        <v>43</v>
      </c>
      <c r="J5" s="2">
        <v>5</v>
      </c>
    </row>
    <row r="6" spans="1:12" x14ac:dyDescent="0.35">
      <c r="I6" s="1" t="s">
        <v>44</v>
      </c>
      <c r="J6" s="2">
        <v>2</v>
      </c>
    </row>
    <row r="7" spans="1:12" x14ac:dyDescent="0.35">
      <c r="A7" s="1" t="s">
        <v>45</v>
      </c>
      <c r="B7" s="2">
        <v>0.4</v>
      </c>
      <c r="C7" s="2">
        <v>0.6</v>
      </c>
      <c r="D7" s="1" t="s">
        <v>46</v>
      </c>
      <c r="E7" s="1" cm="1">
        <f t="array" ref="E7:G7">_xll.XLL_DATA_CHANGE_BASIS($B$5:$C$5,$E$5:$G$5,$B$7:$C$7,FALSE,FALSE,TRUE)</f>
        <v>0.19999999999999998</v>
      </c>
      <c r="F7">
        <v>0.3</v>
      </c>
      <c r="G7">
        <v>0.49999999999999989</v>
      </c>
      <c r="I7" s="1" t="s">
        <v>47</v>
      </c>
      <c r="J7" s="2">
        <v>3</v>
      </c>
    </row>
    <row r="9" spans="1:12" x14ac:dyDescent="0.35">
      <c r="I9" s="1" cm="1">
        <f t="array" ref="I9:K23">_xll.XLL_DATA_GENERATE_MESH($J$5,$J$6,$J$7)</f>
        <v>0</v>
      </c>
      <c r="J9">
        <v>1</v>
      </c>
      <c r="K9">
        <v>0</v>
      </c>
    </row>
    <row r="10" spans="1:12" x14ac:dyDescent="0.35">
      <c r="I10">
        <v>0.25</v>
      </c>
      <c r="J10">
        <v>0.75</v>
      </c>
      <c r="K10">
        <v>0</v>
      </c>
    </row>
    <row r="11" spans="1:12" x14ac:dyDescent="0.35">
      <c r="A11" s="6" t="s">
        <v>48</v>
      </c>
      <c r="B11" s="7"/>
      <c r="C11" s="7"/>
      <c r="D11" s="7"/>
      <c r="E11" s="7"/>
      <c r="F11" s="7"/>
      <c r="G11" s="7"/>
      <c r="I11">
        <v>0.5</v>
      </c>
      <c r="J11">
        <v>0.5</v>
      </c>
      <c r="K11">
        <v>0</v>
      </c>
    </row>
    <row r="12" spans="1:12" x14ac:dyDescent="0.35">
      <c r="I12">
        <v>0.75</v>
      </c>
      <c r="J12">
        <v>0.25</v>
      </c>
      <c r="K12">
        <v>0</v>
      </c>
    </row>
    <row r="13" spans="1:12" x14ac:dyDescent="0.35">
      <c r="A13" s="4" t="s">
        <v>49</v>
      </c>
      <c r="B13" s="4" t="s">
        <v>38</v>
      </c>
      <c r="C13" s="4" t="s">
        <v>39</v>
      </c>
      <c r="D13" s="4" t="s">
        <v>40</v>
      </c>
      <c r="E13" s="4" t="s">
        <v>41</v>
      </c>
      <c r="F13" s="4" t="s">
        <v>42</v>
      </c>
      <c r="I13">
        <v>1</v>
      </c>
      <c r="J13">
        <v>0</v>
      </c>
      <c r="K13">
        <v>0</v>
      </c>
    </row>
    <row r="14" spans="1:12" x14ac:dyDescent="0.35">
      <c r="B14" s="2">
        <v>0</v>
      </c>
      <c r="C14" s="2">
        <v>1</v>
      </c>
      <c r="D14" s="1" cm="1">
        <f t="array" ref="D14:F24">_xll.XLL_DATA_CHANGE_BASIS($B$5:$C$5,$E$5:$G$5,$B$14:$C$24,FALSE,FALSE,TRUE)</f>
        <v>0</v>
      </c>
      <c r="E14">
        <v>0.5</v>
      </c>
      <c r="F14">
        <v>0.5</v>
      </c>
      <c r="I14">
        <v>0</v>
      </c>
      <c r="J14">
        <v>0</v>
      </c>
      <c r="K14">
        <v>1</v>
      </c>
    </row>
    <row r="15" spans="1:12" x14ac:dyDescent="0.35">
      <c r="B15" s="2">
        <v>0.1</v>
      </c>
      <c r="C15" s="2">
        <v>0.9</v>
      </c>
      <c r="D15">
        <v>0.05</v>
      </c>
      <c r="E15">
        <v>0.45</v>
      </c>
      <c r="F15">
        <v>0.5</v>
      </c>
      <c r="I15">
        <v>0.25</v>
      </c>
      <c r="J15">
        <v>0</v>
      </c>
      <c r="K15">
        <v>0.75</v>
      </c>
    </row>
    <row r="16" spans="1:12" x14ac:dyDescent="0.35">
      <c r="B16" s="2">
        <v>0.2</v>
      </c>
      <c r="C16" s="2">
        <v>0.8</v>
      </c>
      <c r="D16">
        <v>9.9999999999999992E-2</v>
      </c>
      <c r="E16">
        <v>0.39999999999999997</v>
      </c>
      <c r="F16">
        <v>0.5</v>
      </c>
      <c r="I16">
        <v>0.5</v>
      </c>
      <c r="J16">
        <v>0</v>
      </c>
      <c r="K16">
        <v>0.5</v>
      </c>
    </row>
    <row r="17" spans="1:11" x14ac:dyDescent="0.35">
      <c r="B17" s="2">
        <v>0.3</v>
      </c>
      <c r="C17" s="2">
        <v>0.7</v>
      </c>
      <c r="D17">
        <v>0.15</v>
      </c>
      <c r="E17">
        <v>0.35000000000000003</v>
      </c>
      <c r="F17">
        <v>0.5</v>
      </c>
      <c r="I17">
        <v>0.75</v>
      </c>
      <c r="J17">
        <v>0</v>
      </c>
      <c r="K17">
        <v>0.25</v>
      </c>
    </row>
    <row r="18" spans="1:11" x14ac:dyDescent="0.35">
      <c r="B18" s="2">
        <v>0.4</v>
      </c>
      <c r="C18" s="2">
        <v>0.6</v>
      </c>
      <c r="D18">
        <v>0.19999999999999998</v>
      </c>
      <c r="E18">
        <v>0.3</v>
      </c>
      <c r="F18">
        <v>0.49999999999999989</v>
      </c>
      <c r="I18">
        <v>1</v>
      </c>
      <c r="J18">
        <v>0</v>
      </c>
      <c r="K18">
        <v>0</v>
      </c>
    </row>
    <row r="19" spans="1:11" x14ac:dyDescent="0.35">
      <c r="B19" s="2">
        <v>0.5</v>
      </c>
      <c r="C19" s="2">
        <v>0.5</v>
      </c>
      <c r="D19">
        <v>0.24999999999999994</v>
      </c>
      <c r="E19">
        <v>0.25</v>
      </c>
      <c r="F19">
        <v>0.5</v>
      </c>
      <c r="I19">
        <v>0</v>
      </c>
      <c r="J19">
        <v>0</v>
      </c>
      <c r="K19">
        <v>1</v>
      </c>
    </row>
    <row r="20" spans="1:11" x14ac:dyDescent="0.35">
      <c r="B20" s="2">
        <v>0.6</v>
      </c>
      <c r="C20" s="2">
        <v>0.4</v>
      </c>
      <c r="D20">
        <v>0.29999999999999993</v>
      </c>
      <c r="E20">
        <v>0.20000000000000004</v>
      </c>
      <c r="F20">
        <v>0.5</v>
      </c>
      <c r="I20">
        <v>0</v>
      </c>
      <c r="J20">
        <v>0.25</v>
      </c>
      <c r="K20">
        <v>0.75</v>
      </c>
    </row>
    <row r="21" spans="1:11" x14ac:dyDescent="0.35">
      <c r="B21" s="2">
        <v>0.7</v>
      </c>
      <c r="C21" s="2">
        <v>0.3</v>
      </c>
      <c r="D21">
        <v>0.34999999999999987</v>
      </c>
      <c r="E21">
        <v>0.15000000000000005</v>
      </c>
      <c r="F21">
        <v>0.5</v>
      </c>
      <c r="I21">
        <v>0</v>
      </c>
      <c r="J21">
        <v>0.5</v>
      </c>
      <c r="K21">
        <v>0.5</v>
      </c>
    </row>
    <row r="22" spans="1:11" x14ac:dyDescent="0.35">
      <c r="B22" s="2">
        <v>0.8</v>
      </c>
      <c r="C22" s="2">
        <v>0.2</v>
      </c>
      <c r="D22">
        <v>0.39999999999999997</v>
      </c>
      <c r="E22">
        <v>0.10000000000000007</v>
      </c>
      <c r="F22">
        <v>0.5</v>
      </c>
      <c r="I22">
        <v>0</v>
      </c>
      <c r="J22">
        <v>0.75</v>
      </c>
      <c r="K22">
        <v>0.25</v>
      </c>
    </row>
    <row r="23" spans="1:11" x14ac:dyDescent="0.35">
      <c r="B23" s="2">
        <v>0.9</v>
      </c>
      <c r="C23" s="2">
        <v>9.9999999999999978E-2</v>
      </c>
      <c r="D23">
        <v>0.4499999999999999</v>
      </c>
      <c r="E23">
        <v>5.0000000000000079E-2</v>
      </c>
      <c r="F23">
        <v>0.5</v>
      </c>
      <c r="I23">
        <v>0</v>
      </c>
      <c r="J23">
        <v>1</v>
      </c>
      <c r="K23">
        <v>0</v>
      </c>
    </row>
    <row r="24" spans="1:11" x14ac:dyDescent="0.35">
      <c r="B24" s="2">
        <v>1</v>
      </c>
      <c r="C24" s="2">
        <v>0</v>
      </c>
      <c r="D24">
        <v>0.49999999999999989</v>
      </c>
      <c r="E24">
        <v>0</v>
      </c>
      <c r="F24">
        <v>0.5</v>
      </c>
    </row>
    <row r="27" spans="1:11" x14ac:dyDescent="0.35">
      <c r="A27" s="6" t="s">
        <v>50</v>
      </c>
      <c r="B27" s="7"/>
      <c r="C27" s="7"/>
      <c r="D27" s="7"/>
      <c r="E27" s="7"/>
      <c r="F27" s="7"/>
      <c r="G27" s="7"/>
    </row>
    <row r="28" spans="1:11" x14ac:dyDescent="0.35">
      <c r="B28" s="4" t="s">
        <v>38</v>
      </c>
      <c r="C28" s="4" t="s">
        <v>39</v>
      </c>
      <c r="E28" s="4" t="s">
        <v>40</v>
      </c>
      <c r="F28" s="4" t="s">
        <v>41</v>
      </c>
      <c r="G28" s="4" t="s">
        <v>42</v>
      </c>
    </row>
    <row r="30" spans="1:11" x14ac:dyDescent="0.35">
      <c r="A30" s="1" t="s">
        <v>51</v>
      </c>
      <c r="B30" s="2">
        <v>2</v>
      </c>
      <c r="C30" s="2">
        <v>1</v>
      </c>
      <c r="D30" s="1" t="s">
        <v>52</v>
      </c>
      <c r="E30" s="1" cm="1">
        <f t="array" ref="E30:G30">_xll.XLL_DATA_CHANGE_BASIS($B$28:$C$28,$E$28:$G$28,$B$30:$C$30,FALSE,FALSE,FALSE)</f>
        <v>2.0000000000000004</v>
      </c>
      <c r="F30">
        <v>1.0000000000000007</v>
      </c>
      <c r="G30">
        <v>3.0000000000000009</v>
      </c>
    </row>
    <row r="34" spans="1:7" x14ac:dyDescent="0.35">
      <c r="A34" s="6" t="s">
        <v>53</v>
      </c>
      <c r="B34" s="7"/>
      <c r="C34" s="7"/>
      <c r="D34" s="7"/>
      <c r="E34" s="7"/>
      <c r="F34" s="7"/>
      <c r="G34" s="7"/>
    </row>
    <row r="35" spans="1:7" x14ac:dyDescent="0.35">
      <c r="B35" s="4" t="s">
        <v>38</v>
      </c>
      <c r="C35" s="4" t="s">
        <v>39</v>
      </c>
      <c r="E35" s="4" t="s">
        <v>40</v>
      </c>
      <c r="F35" s="4" t="s">
        <v>41</v>
      </c>
      <c r="G35" s="4" t="s">
        <v>42</v>
      </c>
    </row>
    <row r="37" spans="1:7" x14ac:dyDescent="0.35">
      <c r="A37" s="1" t="s">
        <v>54</v>
      </c>
      <c r="B37" s="2">
        <v>112.16</v>
      </c>
      <c r="C37" s="2">
        <v>81.38</v>
      </c>
      <c r="D37" s="1" t="s">
        <v>52</v>
      </c>
      <c r="E37" s="1" cm="1">
        <f t="array" ref="E37:G37">_xll.XLL_DATA_CHANGE_BASIS($B$35:$C$35,$E$35:$G$35,$B$37:$C$37,TRUE,FALSE,FALSE)</f>
        <v>2.0000927289781627</v>
      </c>
      <c r="F37">
        <v>1.0000073728732339</v>
      </c>
      <c r="G37">
        <v>3.0001001018513964</v>
      </c>
    </row>
    <row r="41" spans="1:7" x14ac:dyDescent="0.35">
      <c r="A41" s="6" t="s">
        <v>55</v>
      </c>
      <c r="B41" s="7"/>
      <c r="C41" s="7"/>
      <c r="D41" s="7"/>
      <c r="E41" s="7"/>
      <c r="F41" s="7"/>
      <c r="G41" s="7"/>
    </row>
    <row r="42" spans="1:7" x14ac:dyDescent="0.35">
      <c r="B42" s="4" t="s">
        <v>38</v>
      </c>
      <c r="C42" s="4" t="s">
        <v>39</v>
      </c>
      <c r="E42" s="4" t="s">
        <v>40</v>
      </c>
      <c r="F42" s="4" t="s">
        <v>41</v>
      </c>
      <c r="G42" s="4" t="s">
        <v>42</v>
      </c>
    </row>
    <row r="44" spans="1:7" x14ac:dyDescent="0.35">
      <c r="A44" s="1" t="s">
        <v>51</v>
      </c>
      <c r="B44" s="2">
        <v>2</v>
      </c>
      <c r="C44" s="2">
        <v>1</v>
      </c>
      <c r="D44" s="1" t="s">
        <v>56</v>
      </c>
      <c r="E44" s="1" cm="1">
        <f t="array" ref="E44:G44">_xll.XLL_DATA_CHANGE_BASIS($B$42:$C$42,$E$42:$G$42,$B$44:$C$44,FALSE,TRUE,TRUE)</f>
        <v>0.41416969197175485</v>
      </c>
      <c r="F44">
        <v>0.3378214289774108</v>
      </c>
      <c r="G44">
        <v>0.24800887905083441</v>
      </c>
    </row>
  </sheetData>
  <mergeCells count="8">
    <mergeCell ref="A41:G41"/>
    <mergeCell ref="A11:G11"/>
    <mergeCell ref="A1:J1"/>
    <mergeCell ref="A27:G27"/>
    <mergeCell ref="A34:G34"/>
    <mergeCell ref="A4:G4"/>
    <mergeCell ref="I4:L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defaultRowHeight="14.5" x14ac:dyDescent="0.35"/>
  <cols>
    <col min="1" max="1" width="24" customWidth="1"/>
    <col min="2" max="2" width="5.26953125" bestFit="1" customWidth="1"/>
    <col min="3" max="3" width="7.08984375" bestFit="1" customWidth="1"/>
    <col min="4" max="5" width="3.81640625" bestFit="1" customWidth="1"/>
    <col min="6" max="6" width="2.7265625" bestFit="1" customWidth="1"/>
    <col min="7" max="7" width="18" customWidth="1"/>
    <col min="8" max="8" width="7.1796875" bestFit="1" customWidth="1"/>
    <col min="9" max="10" width="9.81640625" bestFit="1" customWidth="1"/>
    <col min="11" max="11" width="6.54296875" bestFit="1" customWidth="1"/>
    <col min="12" max="12" width="8.26953125" bestFit="1" customWidth="1"/>
    <col min="13" max="16" width="18" customWidth="1"/>
  </cols>
  <sheetData>
    <row r="1" spans="1:12" ht="23.5" customHeight="1" x14ac:dyDescent="0.55000000000000004">
      <c r="A1" s="8" t="s">
        <v>57</v>
      </c>
      <c r="B1" s="7"/>
      <c r="C1" s="7"/>
      <c r="D1" s="7"/>
      <c r="E1" s="7"/>
      <c r="F1" s="7"/>
      <c r="G1" s="7"/>
      <c r="H1" s="7"/>
      <c r="I1" s="7"/>
      <c r="J1" s="7"/>
    </row>
    <row r="2" spans="1:12" ht="42" customHeight="1" x14ac:dyDescent="0.35">
      <c r="A2" s="10" t="s">
        <v>58</v>
      </c>
      <c r="B2" s="7"/>
      <c r="C2" s="7"/>
      <c r="D2" s="7"/>
      <c r="E2" s="7"/>
      <c r="F2" s="7"/>
      <c r="G2" s="7"/>
      <c r="H2" s="7"/>
      <c r="I2" s="7"/>
      <c r="J2" s="7"/>
    </row>
    <row r="4" spans="1:12" x14ac:dyDescent="0.35">
      <c r="B4" s="4" t="s">
        <v>59</v>
      </c>
      <c r="C4" s="4" t="s">
        <v>60</v>
      </c>
      <c r="D4" s="4" t="s">
        <v>61</v>
      </c>
      <c r="E4" s="4" t="s">
        <v>61</v>
      </c>
      <c r="F4" s="4" t="s">
        <v>61</v>
      </c>
      <c r="H4" s="4" t="s">
        <v>62</v>
      </c>
      <c r="I4" s="4" t="s">
        <v>62</v>
      </c>
      <c r="J4" s="4" t="s">
        <v>62</v>
      </c>
      <c r="K4" s="4" t="s">
        <v>63</v>
      </c>
      <c r="L4" s="4" t="s">
        <v>64</v>
      </c>
    </row>
    <row r="5" spans="1:12" x14ac:dyDescent="0.35">
      <c r="B5" s="5" t="s">
        <v>65</v>
      </c>
      <c r="C5" s="5" t="s">
        <v>65</v>
      </c>
      <c r="D5" s="5" t="s">
        <v>65</v>
      </c>
      <c r="E5" s="5" t="s">
        <v>65</v>
      </c>
      <c r="F5" s="5" t="s">
        <v>65</v>
      </c>
      <c r="H5" s="5" t="s">
        <v>66</v>
      </c>
      <c r="I5" s="5" t="s">
        <v>67</v>
      </c>
      <c r="J5" s="5" t="s">
        <v>68</v>
      </c>
      <c r="K5" s="5" t="s">
        <v>65</v>
      </c>
      <c r="L5" s="5" t="s">
        <v>65</v>
      </c>
    </row>
    <row r="6" spans="1:12" x14ac:dyDescent="0.35">
      <c r="B6" s="5" t="s">
        <v>65</v>
      </c>
      <c r="C6" s="5" t="s">
        <v>65</v>
      </c>
      <c r="D6" s="5" t="s">
        <v>40</v>
      </c>
      <c r="E6" s="5" t="s">
        <v>41</v>
      </c>
      <c r="F6" s="5" t="s">
        <v>42</v>
      </c>
      <c r="H6" s="5" t="s">
        <v>65</v>
      </c>
      <c r="I6" s="5" t="s">
        <v>65</v>
      </c>
      <c r="J6" s="5" t="s">
        <v>65</v>
      </c>
      <c r="K6" s="5" t="s">
        <v>65</v>
      </c>
      <c r="L6" s="5" t="s">
        <v>65</v>
      </c>
    </row>
    <row r="7" spans="1:12" x14ac:dyDescent="0.35">
      <c r="B7" s="2">
        <v>1200</v>
      </c>
      <c r="C7" s="2">
        <v>1</v>
      </c>
      <c r="D7" s="2">
        <v>0.5</v>
      </c>
      <c r="E7" s="2">
        <v>0.5</v>
      </c>
      <c r="F7" s="2">
        <v>1</v>
      </c>
      <c r="H7" s="1" cm="1">
        <f t="array" ref="H7:L7">_xll.XLL_CA_CALCULATE(Start!$B$10,$B$4:$F$6,$B$7:$F$7,$H$4:$L$6)</f>
        <v>0</v>
      </c>
      <c r="I7">
        <v>0.51153020028808194</v>
      </c>
      <c r="J7">
        <v>0.48846979971192311</v>
      </c>
      <c r="K7">
        <v>0</v>
      </c>
      <c r="L7">
        <v>2</v>
      </c>
    </row>
    <row r="10" spans="1:12" ht="30" customHeight="1" x14ac:dyDescent="0.35">
      <c r="A10" s="12" t="s">
        <v>69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</sheetData>
  <mergeCells count="3">
    <mergeCell ref="A1:J1"/>
    <mergeCell ref="A10:L1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RowHeight="14.5" x14ac:dyDescent="0.35"/>
  <cols>
    <col min="1" max="1" width="24" customWidth="1"/>
    <col min="2" max="2" width="5.26953125" bestFit="1" customWidth="1"/>
    <col min="3" max="3" width="7.08984375" bestFit="1" customWidth="1"/>
    <col min="4" max="5" width="3.81640625" bestFit="1" customWidth="1"/>
    <col min="6" max="6" width="2.7265625" bestFit="1" customWidth="1"/>
    <col min="7" max="7" width="18" customWidth="1"/>
    <col min="8" max="8" width="5.26953125" bestFit="1" customWidth="1"/>
    <col min="9" max="9" width="7.1796875" bestFit="1" customWidth="1"/>
    <col min="10" max="12" width="11.81640625" bestFit="1" customWidth="1"/>
    <col min="13" max="13" width="6.54296875" bestFit="1" customWidth="1"/>
    <col min="14" max="14" width="8.26953125" bestFit="1" customWidth="1"/>
    <col min="15" max="16" width="18" customWidth="1"/>
  </cols>
  <sheetData>
    <row r="1" spans="1:14" ht="23.5" customHeight="1" x14ac:dyDescent="0.55000000000000004">
      <c r="A1" s="8" t="s">
        <v>70</v>
      </c>
      <c r="B1" s="7"/>
      <c r="C1" s="7"/>
      <c r="D1" s="7"/>
      <c r="E1" s="7"/>
      <c r="F1" s="7"/>
      <c r="G1" s="7"/>
      <c r="H1" s="7"/>
      <c r="I1" s="7"/>
      <c r="J1" s="7"/>
    </row>
    <row r="2" spans="1:14" ht="42" customHeight="1" x14ac:dyDescent="0.35">
      <c r="A2" s="10" t="s">
        <v>71</v>
      </c>
      <c r="B2" s="7"/>
      <c r="C2" s="7"/>
      <c r="D2" s="7"/>
      <c r="E2" s="7"/>
      <c r="F2" s="7"/>
      <c r="G2" s="7"/>
      <c r="H2" s="7"/>
      <c r="I2" s="7"/>
      <c r="J2" s="7"/>
    </row>
    <row r="4" spans="1:14" x14ac:dyDescent="0.35">
      <c r="B4" s="4" t="s">
        <v>59</v>
      </c>
      <c r="C4" s="4" t="s">
        <v>60</v>
      </c>
      <c r="D4" s="4" t="s">
        <v>61</v>
      </c>
      <c r="E4" s="4" t="s">
        <v>61</v>
      </c>
      <c r="F4" s="4" t="s">
        <v>61</v>
      </c>
      <c r="H4" s="4" t="s">
        <v>59</v>
      </c>
      <c r="I4" s="4" t="s">
        <v>62</v>
      </c>
      <c r="J4" s="4" t="s">
        <v>62</v>
      </c>
      <c r="K4" s="4" t="s">
        <v>62</v>
      </c>
      <c r="L4" s="4" t="s">
        <v>72</v>
      </c>
      <c r="M4" s="4" t="s">
        <v>63</v>
      </c>
      <c r="N4" s="4" t="s">
        <v>64</v>
      </c>
    </row>
    <row r="5" spans="1:14" x14ac:dyDescent="0.35">
      <c r="B5" s="5" t="s">
        <v>65</v>
      </c>
      <c r="C5" s="5" t="s">
        <v>65</v>
      </c>
      <c r="D5" s="5" t="s">
        <v>65</v>
      </c>
      <c r="E5" s="5" t="s">
        <v>65</v>
      </c>
      <c r="F5" s="5" t="s">
        <v>65</v>
      </c>
      <c r="H5" s="5" t="s">
        <v>65</v>
      </c>
      <c r="I5" s="5" t="s">
        <v>66</v>
      </c>
      <c r="J5" s="5" t="s">
        <v>67</v>
      </c>
      <c r="K5" s="5" t="s">
        <v>68</v>
      </c>
      <c r="L5" s="5" t="s">
        <v>66</v>
      </c>
      <c r="M5" s="5" t="s">
        <v>65</v>
      </c>
      <c r="N5" s="5" t="s">
        <v>65</v>
      </c>
    </row>
    <row r="6" spans="1:14" x14ac:dyDescent="0.35">
      <c r="B6" s="5" t="s">
        <v>65</v>
      </c>
      <c r="C6" s="5" t="s">
        <v>65</v>
      </c>
      <c r="D6" s="5" t="s">
        <v>40</v>
      </c>
      <c r="E6" s="5" t="s">
        <v>41</v>
      </c>
      <c r="F6" s="5" t="s">
        <v>42</v>
      </c>
      <c r="H6" s="5" t="s">
        <v>65</v>
      </c>
      <c r="I6" s="5" t="s">
        <v>65</v>
      </c>
      <c r="J6" s="5" t="s">
        <v>65</v>
      </c>
      <c r="K6" s="5" t="s">
        <v>65</v>
      </c>
      <c r="L6" s="5" t="s">
        <v>41</v>
      </c>
      <c r="M6" s="5" t="s">
        <v>65</v>
      </c>
      <c r="N6" s="5" t="s">
        <v>65</v>
      </c>
    </row>
    <row r="7" spans="1:14" x14ac:dyDescent="0.35">
      <c r="B7" s="2">
        <v>1200</v>
      </c>
      <c r="C7" s="2">
        <v>1</v>
      </c>
      <c r="D7" s="2">
        <v>0</v>
      </c>
      <c r="E7" s="2">
        <v>1</v>
      </c>
      <c r="F7" s="2">
        <v>1</v>
      </c>
      <c r="H7" s="1" cm="1">
        <f t="array" ref="H7:N17">_xll.XLL_CA_CALCULATE(Start!$B$10,$B$4:$F$6,$B$7:$F$17,$H$4:$N$6)</f>
        <v>1200</v>
      </c>
      <c r="I7">
        <v>0</v>
      </c>
      <c r="J7">
        <v>0</v>
      </c>
      <c r="K7">
        <v>1</v>
      </c>
      <c r="L7">
        <v>0.5</v>
      </c>
      <c r="M7">
        <v>0</v>
      </c>
      <c r="N7">
        <v>2</v>
      </c>
    </row>
    <row r="8" spans="1:14" x14ac:dyDescent="0.35">
      <c r="B8" s="2">
        <v>1200</v>
      </c>
      <c r="C8" s="2">
        <v>1</v>
      </c>
      <c r="D8" s="2">
        <v>0.1</v>
      </c>
      <c r="E8" s="2">
        <v>0.9</v>
      </c>
      <c r="F8" s="2">
        <v>1</v>
      </c>
      <c r="H8">
        <v>1200</v>
      </c>
      <c r="I8">
        <v>0</v>
      </c>
      <c r="J8">
        <v>8.6605725659388191E-2</v>
      </c>
      <c r="K8">
        <v>0.9133942743406086</v>
      </c>
      <c r="L8">
        <v>0.32619747212448746</v>
      </c>
      <c r="M8">
        <v>0</v>
      </c>
      <c r="N8">
        <v>2</v>
      </c>
    </row>
    <row r="9" spans="1:14" x14ac:dyDescent="0.35">
      <c r="B9" s="2">
        <v>1200</v>
      </c>
      <c r="C9" s="2">
        <v>1</v>
      </c>
      <c r="D9" s="2">
        <v>0.2</v>
      </c>
      <c r="E9" s="2">
        <v>0.8</v>
      </c>
      <c r="F9" s="2">
        <v>1</v>
      </c>
      <c r="H9">
        <v>1200</v>
      </c>
      <c r="I9">
        <v>0</v>
      </c>
      <c r="J9">
        <v>0.19283684430897097</v>
      </c>
      <c r="K9">
        <v>0.8071631556910206</v>
      </c>
      <c r="L9">
        <v>0.32619747212448824</v>
      </c>
      <c r="M9">
        <v>0</v>
      </c>
      <c r="N9">
        <v>2</v>
      </c>
    </row>
    <row r="10" spans="1:14" x14ac:dyDescent="0.35">
      <c r="B10" s="2">
        <v>1200</v>
      </c>
      <c r="C10" s="2">
        <v>1</v>
      </c>
      <c r="D10" s="2">
        <v>0.3</v>
      </c>
      <c r="E10" s="2">
        <v>0.7</v>
      </c>
      <c r="F10" s="2">
        <v>1</v>
      </c>
      <c r="H10">
        <v>1200</v>
      </c>
      <c r="I10">
        <v>0</v>
      </c>
      <c r="J10">
        <v>0.29906796296618421</v>
      </c>
      <c r="K10">
        <v>0.70093203703382267</v>
      </c>
      <c r="L10">
        <v>0.32619747212448702</v>
      </c>
      <c r="M10">
        <v>0</v>
      </c>
      <c r="N10">
        <v>2</v>
      </c>
    </row>
    <row r="11" spans="1:14" x14ac:dyDescent="0.35">
      <c r="B11" s="2">
        <v>1200</v>
      </c>
      <c r="C11" s="2">
        <v>1</v>
      </c>
      <c r="D11" s="2">
        <v>0.4</v>
      </c>
      <c r="E11" s="2">
        <v>0.6</v>
      </c>
      <c r="F11" s="2">
        <v>1</v>
      </c>
      <c r="H11">
        <v>1200</v>
      </c>
      <c r="I11">
        <v>0</v>
      </c>
      <c r="J11">
        <v>0.40529908161445466</v>
      </c>
      <c r="K11">
        <v>0.59470091838554229</v>
      </c>
      <c r="L11">
        <v>0.32619747212448702</v>
      </c>
      <c r="M11">
        <v>0</v>
      </c>
      <c r="N11">
        <v>2</v>
      </c>
    </row>
    <row r="12" spans="1:14" x14ac:dyDescent="0.35">
      <c r="B12" s="2">
        <v>1200</v>
      </c>
      <c r="C12" s="2">
        <v>1</v>
      </c>
      <c r="D12" s="2">
        <v>0.5</v>
      </c>
      <c r="E12" s="2">
        <v>0.5</v>
      </c>
      <c r="F12" s="2">
        <v>1</v>
      </c>
      <c r="H12">
        <v>1200</v>
      </c>
      <c r="I12">
        <v>0</v>
      </c>
      <c r="J12">
        <v>0.51153020028808194</v>
      </c>
      <c r="K12">
        <v>0.48846979971192311</v>
      </c>
      <c r="L12">
        <v>0.32619747210083866</v>
      </c>
      <c r="M12">
        <v>0</v>
      </c>
      <c r="N12">
        <v>2</v>
      </c>
    </row>
    <row r="13" spans="1:14" x14ac:dyDescent="0.35">
      <c r="B13" s="2">
        <v>1200</v>
      </c>
      <c r="C13" s="2">
        <v>1</v>
      </c>
      <c r="D13" s="2">
        <v>0.6</v>
      </c>
      <c r="E13" s="2">
        <v>0.4</v>
      </c>
      <c r="F13" s="2">
        <v>1</v>
      </c>
      <c r="H13">
        <v>1200</v>
      </c>
      <c r="I13">
        <v>0</v>
      </c>
      <c r="J13">
        <v>0.61776131894672381</v>
      </c>
      <c r="K13">
        <v>0.38223868105328723</v>
      </c>
      <c r="L13">
        <v>0.32619747210348604</v>
      </c>
      <c r="M13">
        <v>0</v>
      </c>
      <c r="N13">
        <v>2</v>
      </c>
    </row>
    <row r="14" spans="1:14" x14ac:dyDescent="0.35">
      <c r="B14" s="2">
        <v>1200</v>
      </c>
      <c r="C14" s="2">
        <v>1</v>
      </c>
      <c r="D14" s="2">
        <v>0.7</v>
      </c>
      <c r="E14" s="2">
        <v>0.3</v>
      </c>
      <c r="F14" s="2">
        <v>1</v>
      </c>
      <c r="H14">
        <v>1200</v>
      </c>
      <c r="I14">
        <v>0</v>
      </c>
      <c r="J14">
        <v>0.72399243761148224</v>
      </c>
      <c r="K14">
        <v>0.27600756238852792</v>
      </c>
      <c r="L14">
        <v>0.32619747211350869</v>
      </c>
      <c r="M14">
        <v>0</v>
      </c>
      <c r="N14">
        <v>2</v>
      </c>
    </row>
    <row r="15" spans="1:14" x14ac:dyDescent="0.35">
      <c r="B15" s="2">
        <v>1200</v>
      </c>
      <c r="C15" s="2">
        <v>1</v>
      </c>
      <c r="D15" s="2">
        <v>0.8</v>
      </c>
      <c r="E15" s="2">
        <v>0.2</v>
      </c>
      <c r="F15" s="2">
        <v>1</v>
      </c>
      <c r="H15">
        <v>1200</v>
      </c>
      <c r="I15">
        <v>0</v>
      </c>
      <c r="J15">
        <v>0.83022355625791655</v>
      </c>
      <c r="K15">
        <v>0.16977644374207795</v>
      </c>
      <c r="L15">
        <v>0.3261974721131865</v>
      </c>
      <c r="M15">
        <v>0</v>
      </c>
      <c r="N15">
        <v>2</v>
      </c>
    </row>
    <row r="16" spans="1:14" x14ac:dyDescent="0.35">
      <c r="B16" s="2">
        <v>1200</v>
      </c>
      <c r="C16" s="2">
        <v>1</v>
      </c>
      <c r="D16" s="2">
        <v>0.9</v>
      </c>
      <c r="E16" s="2">
        <v>9.9999999999999978E-2</v>
      </c>
      <c r="F16" s="2">
        <v>1</v>
      </c>
      <c r="H16">
        <v>1200</v>
      </c>
      <c r="I16">
        <v>0</v>
      </c>
      <c r="J16">
        <v>0.93645467491579004</v>
      </c>
      <c r="K16">
        <v>6.3545325084201923E-2</v>
      </c>
      <c r="L16">
        <v>0.32619747216179051</v>
      </c>
      <c r="M16">
        <v>0</v>
      </c>
      <c r="N16">
        <v>2</v>
      </c>
    </row>
    <row r="17" spans="2:14" x14ac:dyDescent="0.35">
      <c r="B17" s="2">
        <v>1200</v>
      </c>
      <c r="C17" s="2">
        <v>1</v>
      </c>
      <c r="D17" s="2">
        <v>1</v>
      </c>
      <c r="E17" s="2">
        <v>0</v>
      </c>
      <c r="F17" s="2">
        <v>1</v>
      </c>
      <c r="H17">
        <v>1200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</row>
  </sheetData>
  <mergeCells count="2">
    <mergeCell ref="A1:J1"/>
    <mergeCell ref="A2:J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workbookViewId="0"/>
  </sheetViews>
  <sheetFormatPr defaultRowHeight="14.5" x14ac:dyDescent="0.35"/>
  <cols>
    <col min="1" max="1" width="24" customWidth="1"/>
    <col min="2" max="2" width="5.26953125" bestFit="1" customWidth="1"/>
    <col min="3" max="3" width="7.08984375" bestFit="1" customWidth="1"/>
    <col min="4" max="5" width="3.81640625" bestFit="1" customWidth="1"/>
    <col min="6" max="6" width="2.7265625" bestFit="1" customWidth="1"/>
    <col min="7" max="7" width="18" customWidth="1"/>
    <col min="8" max="8" width="5.26953125" bestFit="1" customWidth="1"/>
    <col min="9" max="11" width="11.81640625" bestFit="1" customWidth="1"/>
    <col min="12" max="12" width="6.54296875" bestFit="1" customWidth="1"/>
    <col min="13" max="13" width="8.26953125" bestFit="1" customWidth="1"/>
    <col min="14" max="16" width="18" customWidth="1"/>
  </cols>
  <sheetData>
    <row r="1" spans="1:13" ht="23.5" customHeight="1" x14ac:dyDescent="0.55000000000000004">
      <c r="A1" s="8" t="s">
        <v>73</v>
      </c>
      <c r="B1" s="7"/>
      <c r="C1" s="7"/>
      <c r="D1" s="7"/>
      <c r="E1" s="7"/>
      <c r="F1" s="7"/>
      <c r="G1" s="7"/>
      <c r="H1" s="7"/>
      <c r="I1" s="7"/>
      <c r="J1" s="7"/>
    </row>
    <row r="2" spans="1:13" ht="42" customHeight="1" x14ac:dyDescent="0.35">
      <c r="A2" s="10" t="s">
        <v>74</v>
      </c>
      <c r="B2" s="7"/>
      <c r="C2" s="7"/>
      <c r="D2" s="7"/>
      <c r="E2" s="7"/>
      <c r="F2" s="7"/>
      <c r="G2" s="7"/>
      <c r="H2" s="7"/>
      <c r="I2" s="7"/>
      <c r="J2" s="7"/>
    </row>
    <row r="4" spans="1:13" x14ac:dyDescent="0.35">
      <c r="B4" s="4" t="s">
        <v>59</v>
      </c>
      <c r="C4" s="4" t="s">
        <v>60</v>
      </c>
      <c r="D4" s="4" t="s">
        <v>61</v>
      </c>
      <c r="E4" s="4" t="s">
        <v>61</v>
      </c>
      <c r="F4" s="4" t="s">
        <v>61</v>
      </c>
      <c r="H4" s="4" t="s">
        <v>59</v>
      </c>
      <c r="I4" s="4" t="s">
        <v>62</v>
      </c>
      <c r="J4" s="4" t="s">
        <v>62</v>
      </c>
      <c r="K4" s="4" t="s">
        <v>62</v>
      </c>
      <c r="L4" s="4" t="s">
        <v>63</v>
      </c>
      <c r="M4" s="4" t="s">
        <v>64</v>
      </c>
    </row>
    <row r="5" spans="1:13" x14ac:dyDescent="0.35">
      <c r="B5" s="5" t="s">
        <v>65</v>
      </c>
      <c r="C5" s="5" t="s">
        <v>65</v>
      </c>
      <c r="D5" s="5" t="s">
        <v>65</v>
      </c>
      <c r="E5" s="5" t="s">
        <v>65</v>
      </c>
      <c r="F5" s="5" t="s">
        <v>65</v>
      </c>
      <c r="H5" s="5" t="s">
        <v>65</v>
      </c>
      <c r="I5" s="5" t="s">
        <v>66</v>
      </c>
      <c r="J5" s="5" t="s">
        <v>67</v>
      </c>
      <c r="K5" s="5" t="s">
        <v>68</v>
      </c>
      <c r="L5" s="5" t="s">
        <v>65</v>
      </c>
      <c r="M5" s="5" t="s">
        <v>65</v>
      </c>
    </row>
    <row r="6" spans="1:13" x14ac:dyDescent="0.35">
      <c r="B6" s="5" t="s">
        <v>65</v>
      </c>
      <c r="C6" s="5" t="s">
        <v>65</v>
      </c>
      <c r="D6" s="5" t="s">
        <v>40</v>
      </c>
      <c r="E6" s="5" t="s">
        <v>41</v>
      </c>
      <c r="F6" s="5" t="s">
        <v>42</v>
      </c>
      <c r="H6" s="5" t="s">
        <v>65</v>
      </c>
      <c r="I6" s="5" t="s">
        <v>65</v>
      </c>
      <c r="J6" s="5" t="s">
        <v>65</v>
      </c>
      <c r="K6" s="5" t="s">
        <v>65</v>
      </c>
      <c r="L6" s="5" t="s">
        <v>65</v>
      </c>
      <c r="M6" s="5" t="s">
        <v>65</v>
      </c>
    </row>
    <row r="7" spans="1:13" x14ac:dyDescent="0.35">
      <c r="B7" s="2">
        <v>700</v>
      </c>
      <c r="C7" s="2">
        <v>1</v>
      </c>
      <c r="D7" s="2">
        <v>0.5</v>
      </c>
      <c r="E7" s="2">
        <v>0.5</v>
      </c>
      <c r="F7" s="2">
        <v>1</v>
      </c>
      <c r="H7" s="1" cm="1">
        <f t="array" ref="H7:M18">_xll.XLL_CA_CALCULATE(Start!$B$10,$B$4:$F$6,$B$7:$F$18,$H$4:$M$6)</f>
        <v>700</v>
      </c>
      <c r="I7">
        <v>0</v>
      </c>
      <c r="J7">
        <v>0.50012442787593647</v>
      </c>
      <c r="K7">
        <v>0.49987557212407024</v>
      </c>
      <c r="L7">
        <v>0</v>
      </c>
      <c r="M7">
        <v>2</v>
      </c>
    </row>
    <row r="8" spans="1:13" x14ac:dyDescent="0.35">
      <c r="B8" s="2">
        <v>800</v>
      </c>
      <c r="C8" s="2">
        <v>1</v>
      </c>
      <c r="D8" s="2">
        <v>0.5</v>
      </c>
      <c r="E8" s="2">
        <v>0.5</v>
      </c>
      <c r="F8" s="2">
        <v>1</v>
      </c>
      <c r="H8">
        <v>800.00000000000011</v>
      </c>
      <c r="I8">
        <v>0</v>
      </c>
      <c r="J8">
        <v>0.50044167515763394</v>
      </c>
      <c r="K8">
        <v>0.49955832484237611</v>
      </c>
      <c r="L8">
        <v>0</v>
      </c>
      <c r="M8">
        <v>2</v>
      </c>
    </row>
    <row r="9" spans="1:13" x14ac:dyDescent="0.35">
      <c r="B9" s="2">
        <v>900</v>
      </c>
      <c r="C9" s="2">
        <v>1</v>
      </c>
      <c r="D9" s="2">
        <v>0.5</v>
      </c>
      <c r="E9" s="2">
        <v>0.5</v>
      </c>
      <c r="F9" s="2">
        <v>1</v>
      </c>
      <c r="H9">
        <v>900.00000000000011</v>
      </c>
      <c r="I9">
        <v>0</v>
      </c>
      <c r="J9">
        <v>0.50119634180105033</v>
      </c>
      <c r="K9">
        <v>0.49880365819893813</v>
      </c>
      <c r="L9">
        <v>0</v>
      </c>
      <c r="M9">
        <v>2</v>
      </c>
    </row>
    <row r="10" spans="1:13" x14ac:dyDescent="0.35">
      <c r="B10" s="2">
        <v>1000</v>
      </c>
      <c r="C10" s="2">
        <v>1</v>
      </c>
      <c r="D10" s="2">
        <v>0.5</v>
      </c>
      <c r="E10" s="2">
        <v>0.5</v>
      </c>
      <c r="F10" s="2">
        <v>1</v>
      </c>
      <c r="H10">
        <v>1000.0000000000001</v>
      </c>
      <c r="I10">
        <v>0</v>
      </c>
      <c r="J10">
        <v>0.50277512662685908</v>
      </c>
      <c r="K10">
        <v>0.49722487337314669</v>
      </c>
      <c r="L10">
        <v>0</v>
      </c>
      <c r="M10">
        <v>2</v>
      </c>
    </row>
    <row r="11" spans="1:13" x14ac:dyDescent="0.35">
      <c r="B11" s="2">
        <v>1100</v>
      </c>
      <c r="C11" s="2">
        <v>1</v>
      </c>
      <c r="D11" s="2">
        <v>0.5</v>
      </c>
      <c r="E11" s="2">
        <v>0.5</v>
      </c>
      <c r="F11" s="2">
        <v>1</v>
      </c>
      <c r="H11">
        <v>1100</v>
      </c>
      <c r="I11">
        <v>0</v>
      </c>
      <c r="J11">
        <v>0.50583612582514825</v>
      </c>
      <c r="K11">
        <v>0.49416387417485447</v>
      </c>
      <c r="L11">
        <v>0</v>
      </c>
      <c r="M11">
        <v>2</v>
      </c>
    </row>
    <row r="12" spans="1:13" x14ac:dyDescent="0.35">
      <c r="B12" s="2">
        <v>1200</v>
      </c>
      <c r="C12" s="2">
        <v>1</v>
      </c>
      <c r="D12" s="2">
        <v>0.5</v>
      </c>
      <c r="E12" s="2">
        <v>0.5</v>
      </c>
      <c r="F12" s="2">
        <v>1</v>
      </c>
      <c r="H12">
        <v>1200</v>
      </c>
      <c r="I12">
        <v>0</v>
      </c>
      <c r="J12">
        <v>0.51153020028808194</v>
      </c>
      <c r="K12">
        <v>0.48846979971192311</v>
      </c>
      <c r="L12">
        <v>0</v>
      </c>
      <c r="M12">
        <v>2</v>
      </c>
    </row>
    <row r="13" spans="1:13" x14ac:dyDescent="0.35">
      <c r="B13" s="2">
        <v>1300</v>
      </c>
      <c r="C13" s="2">
        <v>1</v>
      </c>
      <c r="D13" s="2">
        <v>0.5</v>
      </c>
      <c r="E13" s="2">
        <v>0.5</v>
      </c>
      <c r="F13" s="2">
        <v>1</v>
      </c>
      <c r="H13">
        <v>1300</v>
      </c>
      <c r="I13">
        <v>0</v>
      </c>
      <c r="J13">
        <v>0.52196891409719903</v>
      </c>
      <c r="K13">
        <v>0.47803108590279886</v>
      </c>
      <c r="L13">
        <v>0</v>
      </c>
      <c r="M13">
        <v>2</v>
      </c>
    </row>
    <row r="14" spans="1:13" x14ac:dyDescent="0.35">
      <c r="B14" s="2">
        <v>1400</v>
      </c>
      <c r="C14" s="2">
        <v>1</v>
      </c>
      <c r="D14" s="2">
        <v>0.5</v>
      </c>
      <c r="E14" s="2">
        <v>0.5</v>
      </c>
      <c r="F14" s="2">
        <v>1</v>
      </c>
      <c r="H14">
        <v>1400</v>
      </c>
      <c r="I14">
        <v>0</v>
      </c>
      <c r="J14">
        <v>0.54122053713720264</v>
      </c>
      <c r="K14">
        <v>0.45877946286280075</v>
      </c>
      <c r="L14">
        <v>0</v>
      </c>
      <c r="M14">
        <v>2</v>
      </c>
    </row>
    <row r="15" spans="1:13" x14ac:dyDescent="0.35">
      <c r="B15" s="2">
        <v>1500</v>
      </c>
      <c r="C15" s="2">
        <v>1</v>
      </c>
      <c r="D15" s="2">
        <v>0.5</v>
      </c>
      <c r="E15" s="2">
        <v>0.5</v>
      </c>
      <c r="F15" s="2">
        <v>1</v>
      </c>
      <c r="H15">
        <v>1500</v>
      </c>
      <c r="I15">
        <v>0</v>
      </c>
      <c r="J15">
        <v>0.57677398723726414</v>
      </c>
      <c r="K15">
        <v>0.42322601276273908</v>
      </c>
      <c r="L15">
        <v>0</v>
      </c>
      <c r="M15">
        <v>2</v>
      </c>
    </row>
    <row r="16" spans="1:13" x14ac:dyDescent="0.35">
      <c r="B16" s="2">
        <v>1600</v>
      </c>
      <c r="C16" s="2">
        <v>1</v>
      </c>
      <c r="D16" s="2">
        <v>0.5</v>
      </c>
      <c r="E16" s="2">
        <v>0.5</v>
      </c>
      <c r="F16" s="2">
        <v>1</v>
      </c>
      <c r="H16">
        <v>1600</v>
      </c>
      <c r="I16">
        <v>0.72453374924406544</v>
      </c>
      <c r="J16">
        <v>0.27546625075592224</v>
      </c>
      <c r="K16">
        <v>0</v>
      </c>
      <c r="L16">
        <v>0</v>
      </c>
      <c r="M16">
        <v>2</v>
      </c>
    </row>
    <row r="17" spans="2:13" x14ac:dyDescent="0.35">
      <c r="B17" s="2">
        <v>1700</v>
      </c>
      <c r="C17" s="2">
        <v>1</v>
      </c>
      <c r="D17" s="2">
        <v>0.5</v>
      </c>
      <c r="E17" s="2">
        <v>0.5</v>
      </c>
      <c r="F17" s="2">
        <v>1</v>
      </c>
      <c r="H17">
        <v>1700</v>
      </c>
      <c r="I17">
        <v>0.79151193188280511</v>
      </c>
      <c r="J17">
        <v>0.20848806811719944</v>
      </c>
      <c r="K17">
        <v>0</v>
      </c>
      <c r="L17">
        <v>0</v>
      </c>
      <c r="M17">
        <v>2</v>
      </c>
    </row>
    <row r="18" spans="2:13" x14ac:dyDescent="0.35">
      <c r="B18" s="2">
        <v>1800</v>
      </c>
      <c r="C18" s="2">
        <v>1</v>
      </c>
      <c r="D18" s="2">
        <v>0.5</v>
      </c>
      <c r="E18" s="2">
        <v>0.5</v>
      </c>
      <c r="F18" s="2">
        <v>1</v>
      </c>
      <c r="H18">
        <v>1800</v>
      </c>
      <c r="I18">
        <v>0.8584282743405135</v>
      </c>
      <c r="J18">
        <v>0.14157172565948933</v>
      </c>
      <c r="K18">
        <v>0</v>
      </c>
      <c r="L18">
        <v>0</v>
      </c>
      <c r="M18">
        <v>2</v>
      </c>
    </row>
  </sheetData>
  <mergeCells count="2">
    <mergeCell ref="A1:J1"/>
    <mergeCell ref="A2:J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"/>
  <sheetViews>
    <sheetView workbookViewId="0"/>
  </sheetViews>
  <sheetFormatPr defaultRowHeight="14.5" x14ac:dyDescent="0.35"/>
  <cols>
    <col min="1" max="1" width="24" customWidth="1"/>
    <col min="2" max="2" width="5.26953125" bestFit="1" customWidth="1"/>
    <col min="3" max="3" width="7.08984375" bestFit="1" customWidth="1"/>
    <col min="4" max="5" width="3.81640625" bestFit="1" customWidth="1"/>
    <col min="6" max="6" width="2.7265625" bestFit="1" customWidth="1"/>
    <col min="7" max="7" width="18" customWidth="1"/>
    <col min="8" max="8" width="7.1796875" bestFit="1" customWidth="1"/>
    <col min="9" max="10" width="9.81640625" bestFit="1" customWidth="1"/>
    <col min="11" max="11" width="6.54296875" bestFit="1" customWidth="1"/>
    <col min="12" max="12" width="8.26953125" bestFit="1" customWidth="1"/>
    <col min="13" max="13" width="18" customWidth="1"/>
    <col min="14" max="14" width="14" bestFit="1" customWidth="1"/>
    <col min="15" max="16" width="18" customWidth="1"/>
  </cols>
  <sheetData>
    <row r="1" spans="1:14" ht="23.5" customHeight="1" x14ac:dyDescent="0.55000000000000004">
      <c r="A1" s="8" t="s">
        <v>75</v>
      </c>
      <c r="B1" s="7"/>
      <c r="C1" s="7"/>
      <c r="D1" s="7"/>
      <c r="E1" s="7"/>
      <c r="F1" s="7"/>
      <c r="G1" s="7"/>
      <c r="H1" s="7"/>
      <c r="I1" s="7"/>
      <c r="J1" s="7"/>
    </row>
    <row r="2" spans="1:14" ht="42" customHeight="1" x14ac:dyDescent="0.35">
      <c r="A2" s="10" t="s">
        <v>76</v>
      </c>
      <c r="B2" s="7"/>
      <c r="C2" s="7"/>
      <c r="D2" s="7"/>
      <c r="E2" s="7"/>
      <c r="F2" s="7"/>
      <c r="G2" s="7"/>
      <c r="H2" s="7"/>
      <c r="I2" s="7"/>
      <c r="J2" s="7"/>
    </row>
    <row r="4" spans="1:14" x14ac:dyDescent="0.35">
      <c r="B4" s="4" t="s">
        <v>59</v>
      </c>
      <c r="C4" s="4" t="s">
        <v>60</v>
      </c>
      <c r="D4" s="4" t="s">
        <v>61</v>
      </c>
      <c r="E4" s="4" t="s">
        <v>61</v>
      </c>
      <c r="F4" s="4" t="s">
        <v>61</v>
      </c>
      <c r="H4" s="4" t="s">
        <v>62</v>
      </c>
      <c r="I4" s="4" t="s">
        <v>62</v>
      </c>
      <c r="J4" s="4" t="s">
        <v>62</v>
      </c>
      <c r="K4" s="4" t="s">
        <v>63</v>
      </c>
      <c r="L4" s="4" t="s">
        <v>64</v>
      </c>
      <c r="N4" s="4" t="s">
        <v>77</v>
      </c>
    </row>
    <row r="5" spans="1:14" x14ac:dyDescent="0.35">
      <c r="B5" s="5" t="s">
        <v>65</v>
      </c>
      <c r="C5" s="5" t="s">
        <v>65</v>
      </c>
      <c r="D5" s="5" t="s">
        <v>65</v>
      </c>
      <c r="E5" s="5" t="s">
        <v>65</v>
      </c>
      <c r="F5" s="5" t="s">
        <v>65</v>
      </c>
      <c r="H5" s="5" t="s">
        <v>66</v>
      </c>
      <c r="I5" s="5" t="s">
        <v>67</v>
      </c>
      <c r="J5" s="5" t="s">
        <v>68</v>
      </c>
      <c r="K5" s="5" t="s">
        <v>65</v>
      </c>
      <c r="L5" s="5" t="s">
        <v>65</v>
      </c>
      <c r="N5" s="2" t="s">
        <v>66</v>
      </c>
    </row>
    <row r="6" spans="1:14" x14ac:dyDescent="0.35">
      <c r="B6" s="5" t="s">
        <v>65</v>
      </c>
      <c r="C6" s="5" t="s">
        <v>65</v>
      </c>
      <c r="D6" s="5" t="s">
        <v>40</v>
      </c>
      <c r="E6" s="5" t="s">
        <v>41</v>
      </c>
      <c r="F6" s="5" t="s">
        <v>42</v>
      </c>
      <c r="H6" s="5" t="s">
        <v>65</v>
      </c>
      <c r="I6" s="5" t="s">
        <v>65</v>
      </c>
      <c r="J6" s="5" t="s">
        <v>65</v>
      </c>
      <c r="K6" s="5" t="s">
        <v>65</v>
      </c>
      <c r="L6" s="5" t="s">
        <v>65</v>
      </c>
      <c r="N6" s="2" t="s">
        <v>67</v>
      </c>
    </row>
    <row r="7" spans="1:14" x14ac:dyDescent="0.35">
      <c r="B7" s="2">
        <v>1200</v>
      </c>
      <c r="C7" s="2">
        <v>1</v>
      </c>
      <c r="D7" s="2">
        <v>0.5</v>
      </c>
      <c r="E7" s="2">
        <v>0.5</v>
      </c>
      <c r="F7" s="2">
        <v>1</v>
      </c>
      <c r="H7" s="1" cm="1">
        <f t="array" ref="H7:L7">_xll.XLL_CA_CALCULATE(Start!$B$10,$B$4:$F$6,$B$7:$F$7,$H$4:$L$6,$N$5:$N$6)</f>
        <v>0</v>
      </c>
      <c r="I7">
        <v>0.51153020028808194</v>
      </c>
      <c r="J7">
        <v>0.48846979971192311</v>
      </c>
      <c r="K7">
        <v>0</v>
      </c>
      <c r="L7">
        <v>2</v>
      </c>
    </row>
    <row r="10" spans="1:14" ht="30" customHeight="1" x14ac:dyDescent="0.35">
      <c r="A10" s="13" t="s">
        <v>78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</sheetData>
  <mergeCells count="3">
    <mergeCell ref="A1:J1"/>
    <mergeCell ref="A10:N10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"/>
  <sheetViews>
    <sheetView workbookViewId="0"/>
  </sheetViews>
  <sheetFormatPr defaultRowHeight="14.5" x14ac:dyDescent="0.35"/>
  <cols>
    <col min="1" max="1" width="24" customWidth="1"/>
    <col min="2" max="2" width="7.08984375" bestFit="1" customWidth="1"/>
    <col min="3" max="4" width="3.81640625" bestFit="1" customWidth="1"/>
    <col min="5" max="5" width="2.7265625" bestFit="1" customWidth="1"/>
    <col min="6" max="6" width="11.54296875" bestFit="1" customWidth="1"/>
    <col min="7" max="7" width="6" bestFit="1" customWidth="1"/>
    <col min="8" max="8" width="6.26953125" bestFit="1" customWidth="1"/>
    <col min="9" max="10" width="18" customWidth="1"/>
    <col min="11" max="11" width="11.81640625" bestFit="1" customWidth="1"/>
    <col min="12" max="12" width="6.54296875" bestFit="1" customWidth="1"/>
    <col min="13" max="13" width="8.26953125" bestFit="1" customWidth="1"/>
    <col min="14" max="14" width="9.54296875" bestFit="1" customWidth="1"/>
    <col min="15" max="15" width="18" customWidth="1"/>
    <col min="16" max="16" width="14" bestFit="1" customWidth="1"/>
  </cols>
  <sheetData>
    <row r="1" spans="1:16" ht="23.5" customHeight="1" x14ac:dyDescent="0.55000000000000004">
      <c r="A1" s="8" t="s">
        <v>79</v>
      </c>
      <c r="B1" s="7"/>
      <c r="C1" s="7"/>
      <c r="D1" s="7"/>
      <c r="E1" s="7"/>
      <c r="F1" s="7"/>
      <c r="G1" s="7"/>
      <c r="H1" s="7"/>
      <c r="I1" s="7"/>
      <c r="J1" s="7"/>
    </row>
    <row r="2" spans="1:16" ht="42" customHeight="1" x14ac:dyDescent="0.35">
      <c r="A2" s="10" t="s">
        <v>80</v>
      </c>
      <c r="B2" s="7"/>
      <c r="C2" s="7"/>
      <c r="D2" s="7"/>
      <c r="E2" s="7"/>
      <c r="F2" s="7"/>
      <c r="G2" s="7"/>
      <c r="H2" s="7"/>
      <c r="I2" s="7"/>
      <c r="J2" s="7"/>
    </row>
    <row r="4" spans="1:16" x14ac:dyDescent="0.35">
      <c r="B4" s="4" t="s">
        <v>60</v>
      </c>
      <c r="C4" s="4" t="s">
        <v>61</v>
      </c>
      <c r="D4" s="4" t="s">
        <v>61</v>
      </c>
      <c r="E4" s="4" t="s">
        <v>61</v>
      </c>
      <c r="F4" s="4" t="s">
        <v>81</v>
      </c>
      <c r="G4" s="4" t="s">
        <v>82</v>
      </c>
      <c r="H4" s="4" t="s">
        <v>83</v>
      </c>
      <c r="K4" s="4" t="s">
        <v>59</v>
      </c>
      <c r="L4" s="4" t="s">
        <v>63</v>
      </c>
      <c r="M4" s="4" t="s">
        <v>64</v>
      </c>
      <c r="N4" s="4" t="s">
        <v>84</v>
      </c>
      <c r="P4" s="4" t="s">
        <v>77</v>
      </c>
    </row>
    <row r="5" spans="1:16" x14ac:dyDescent="0.35">
      <c r="B5" s="5" t="s">
        <v>65</v>
      </c>
      <c r="C5" s="5" t="s">
        <v>65</v>
      </c>
      <c r="D5" s="5" t="s">
        <v>65</v>
      </c>
      <c r="E5" s="5" t="s">
        <v>65</v>
      </c>
      <c r="F5" s="5" t="s">
        <v>65</v>
      </c>
      <c r="G5" s="5" t="s">
        <v>65</v>
      </c>
      <c r="H5" s="5" t="s">
        <v>65</v>
      </c>
      <c r="K5" s="5" t="s">
        <v>65</v>
      </c>
      <c r="L5" s="5" t="s">
        <v>65</v>
      </c>
      <c r="M5" s="5" t="s">
        <v>65</v>
      </c>
      <c r="N5" s="5" t="s">
        <v>67</v>
      </c>
      <c r="P5" s="2" t="s">
        <v>66</v>
      </c>
    </row>
    <row r="6" spans="1:16" x14ac:dyDescent="0.35">
      <c r="B6" s="5" t="s">
        <v>65</v>
      </c>
      <c r="C6" s="5" t="s">
        <v>40</v>
      </c>
      <c r="D6" s="5" t="s">
        <v>41</v>
      </c>
      <c r="E6" s="5" t="s">
        <v>42</v>
      </c>
      <c r="F6" s="5" t="s">
        <v>65</v>
      </c>
      <c r="G6" s="5" t="s">
        <v>65</v>
      </c>
      <c r="H6" s="5" t="s">
        <v>65</v>
      </c>
      <c r="K6" s="5" t="s">
        <v>65</v>
      </c>
      <c r="L6" s="5" t="s">
        <v>65</v>
      </c>
      <c r="M6" s="5" t="s">
        <v>65</v>
      </c>
      <c r="N6" s="5" t="s">
        <v>65</v>
      </c>
      <c r="P6" s="2" t="s">
        <v>67</v>
      </c>
    </row>
    <row r="7" spans="1:16" x14ac:dyDescent="0.35">
      <c r="B7" s="2">
        <v>1</v>
      </c>
      <c r="C7" s="2">
        <v>0.1</v>
      </c>
      <c r="D7" s="2">
        <v>0.9</v>
      </c>
      <c r="E7" s="2">
        <v>1</v>
      </c>
      <c r="F7" s="2" t="s">
        <v>67</v>
      </c>
      <c r="G7" s="2">
        <v>500</v>
      </c>
      <c r="H7" s="2">
        <v>2200</v>
      </c>
      <c r="K7" s="1" cm="1">
        <f t="array" ref="K7:N11">_xll.XLL_CA_CALCULATE(Start!$B$10,$B$4:$H$6,$B$7:$H$11,$K$4:$N$6,$P$5:$P$6)</f>
        <v>1534.6343692250284</v>
      </c>
      <c r="L7">
        <v>0</v>
      </c>
      <c r="M7">
        <v>3</v>
      </c>
      <c r="N7">
        <v>1</v>
      </c>
    </row>
    <row r="8" spans="1:16" x14ac:dyDescent="0.35">
      <c r="B8" s="2">
        <v>1</v>
      </c>
      <c r="C8" s="2">
        <v>0.3</v>
      </c>
      <c r="D8" s="2">
        <v>0.7</v>
      </c>
      <c r="E8" s="2">
        <v>1</v>
      </c>
      <c r="F8" s="2" t="s">
        <v>67</v>
      </c>
      <c r="G8" s="2">
        <v>500</v>
      </c>
      <c r="H8" s="2">
        <v>2200</v>
      </c>
      <c r="K8">
        <v>1534.6343692250671</v>
      </c>
      <c r="L8">
        <v>0</v>
      </c>
      <c r="M8">
        <v>3</v>
      </c>
      <c r="N8">
        <v>1</v>
      </c>
    </row>
    <row r="9" spans="1:16" x14ac:dyDescent="0.35">
      <c r="B9" s="2">
        <v>1</v>
      </c>
      <c r="C9" s="2">
        <v>0.5</v>
      </c>
      <c r="D9" s="2">
        <v>0.5</v>
      </c>
      <c r="E9" s="2">
        <v>1</v>
      </c>
      <c r="F9" s="2" t="s">
        <v>67</v>
      </c>
      <c r="G9" s="2">
        <v>500</v>
      </c>
      <c r="H9" s="2">
        <v>2200</v>
      </c>
      <c r="K9">
        <v>297.83805713182016</v>
      </c>
      <c r="L9">
        <v>0</v>
      </c>
      <c r="M9">
        <v>4</v>
      </c>
      <c r="N9">
        <v>1</v>
      </c>
    </row>
    <row r="10" spans="1:16" x14ac:dyDescent="0.35">
      <c r="B10" s="2">
        <v>1</v>
      </c>
      <c r="C10" s="2">
        <v>0.7</v>
      </c>
      <c r="D10" s="2">
        <v>0.3</v>
      </c>
      <c r="E10" s="2">
        <v>1</v>
      </c>
      <c r="F10" s="2" t="s">
        <v>67</v>
      </c>
      <c r="G10" s="2">
        <v>500</v>
      </c>
      <c r="H10" s="2">
        <v>2200</v>
      </c>
      <c r="K10">
        <v>297.83805665671628</v>
      </c>
      <c r="L10">
        <v>0</v>
      </c>
      <c r="M10">
        <v>4</v>
      </c>
      <c r="N10">
        <v>1</v>
      </c>
    </row>
    <row r="11" spans="1:16" x14ac:dyDescent="0.35">
      <c r="B11" s="2">
        <v>1</v>
      </c>
      <c r="C11" s="2">
        <v>0.9</v>
      </c>
      <c r="D11" s="2">
        <v>9.9999999999999978E-2</v>
      </c>
      <c r="E11" s="2">
        <v>1</v>
      </c>
      <c r="F11" s="2" t="s">
        <v>67</v>
      </c>
      <c r="G11" s="2">
        <v>500</v>
      </c>
      <c r="H11" s="2">
        <v>2200</v>
      </c>
      <c r="K11">
        <v>297.83805713182016</v>
      </c>
      <c r="L11">
        <v>0</v>
      </c>
      <c r="M11">
        <v>4</v>
      </c>
      <c r="N11">
        <v>1</v>
      </c>
    </row>
    <row r="14" spans="1:16" ht="30" customHeight="1" x14ac:dyDescent="0.35">
      <c r="A14" s="13" t="s">
        <v>85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</sheetData>
  <mergeCells count="3">
    <mergeCell ref="A1:J1"/>
    <mergeCell ref="A14:N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</vt:lpstr>
      <vt:lpstr>Runtime</vt:lpstr>
      <vt:lpstr>Explore</vt:lpstr>
      <vt:lpstr>Basis + utilities</vt:lpstr>
      <vt:lpstr>First equilibrium</vt:lpstr>
      <vt:lpstr>Equilibrium</vt:lpstr>
      <vt:lpstr>Temperature sweep</vt:lpstr>
      <vt:lpstr>Phase selection</vt:lpstr>
      <vt:lpstr>Phase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Evgenii Nekhoroshev</cp:lastModifiedBy>
  <dcterms:created xsi:type="dcterms:W3CDTF">2026-09-24T01:04:17Z</dcterms:created>
  <dcterms:modified xsi:type="dcterms:W3CDTF">2026-09-24T01:04:52Z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2026-09-24T01:04:51Z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fdd8d6ea-89e0-4231-af94-b93de383058f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